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sc_RushilJivan_2026\Data Analysis Project\project\reports\"/>
    </mc:Choice>
  </mc:AlternateContent>
  <xr:revisionPtr revIDLastSave="0" documentId="13_ncr:1_{1331F6F3-2728-4C52-8D12-4017D03B83AD}" xr6:coauthVersionLast="47" xr6:coauthVersionMax="47" xr10:uidLastSave="{00000000-0000-0000-0000-000000000000}"/>
  <bookViews>
    <workbookView xWindow="-108" yWindow="-108" windowWidth="23256" windowHeight="12456" activeTab="1" xr2:uid="{00000000-000D-0000-FFFF-FFFF00000000}"/>
  </bookViews>
  <sheets>
    <sheet name="clean_sales" sheetId="5" r:id="rId1"/>
    <sheet name="Pivot_Tables" sheetId="2" r:id="rId2"/>
    <sheet name="Dashboard" sheetId="3" r:id="rId3"/>
  </sheets>
  <definedNames>
    <definedName name="ExternalData_1" localSheetId="0" hidden="1">'clean_sales'!$A$1:$J$49</definedName>
    <definedName name="NativeTimeline_month">#N/A</definedName>
    <definedName name="_xlnm.Print_Area" localSheetId="2">Dashboard!$A$1:$AK$49</definedName>
    <definedName name="Slicer_category">#N/A</definedName>
    <definedName name="Slicer_product">#N/A</definedName>
    <definedName name="Slicer_region">#N/A</definedName>
    <definedName name="Slicer_salesperson">#N/A</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3" i="2" l="1"/>
  <c r="F10" i="2"/>
  <c r="F7" i="2"/>
  <c r="F4"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68058CB-0DE8-48A3-BFCB-A953ED70C3F4}" keepAlive="1" name="Query - clean_sales" description="Connection to the 'clean_sales' query in the workbook." type="5" refreshedVersion="8" background="1" saveData="1">
    <dbPr connection="Provider=Microsoft.Mashup.OleDb.1;Data Source=$Workbook$;Location=clean_sales;Extended Properties=&quot;&quot;" command="SELECT * FROM [clean_sales]"/>
  </connection>
</connections>
</file>

<file path=xl/sharedStrings.xml><?xml version="1.0" encoding="utf-8"?>
<sst xmlns="http://schemas.openxmlformats.org/spreadsheetml/2006/main" count="278" uniqueCount="39">
  <si>
    <t>transaction_id</t>
  </si>
  <si>
    <t>date</t>
  </si>
  <si>
    <t>product</t>
  </si>
  <si>
    <t>category</t>
  </si>
  <si>
    <t>quantity</t>
  </si>
  <si>
    <t>price</t>
  </si>
  <si>
    <t>region</t>
  </si>
  <si>
    <t>salesperson</t>
  </si>
  <si>
    <t>revenue</t>
  </si>
  <si>
    <t>month</t>
  </si>
  <si>
    <t>Laptop</t>
  </si>
  <si>
    <t>Electronics</t>
  </si>
  <si>
    <t>North</t>
  </si>
  <si>
    <t>John</t>
  </si>
  <si>
    <t>Phone</t>
  </si>
  <si>
    <t>South</t>
  </si>
  <si>
    <t>Mary</t>
  </si>
  <si>
    <t>Tablet</t>
  </si>
  <si>
    <t>East</t>
  </si>
  <si>
    <t>David</t>
  </si>
  <si>
    <t>Desk</t>
  </si>
  <si>
    <t>Furniture</t>
  </si>
  <si>
    <t>West</t>
  </si>
  <si>
    <t>Sarah</t>
  </si>
  <si>
    <t>Chair</t>
  </si>
  <si>
    <t>Unknown</t>
  </si>
  <si>
    <t>Row Labels</t>
  </si>
  <si>
    <t>Grand Total</t>
  </si>
  <si>
    <t>Sum of revenue</t>
  </si>
  <si>
    <t>Column Labels</t>
  </si>
  <si>
    <t>Jan</t>
  </si>
  <si>
    <t>Feb</t>
  </si>
  <si>
    <t>Mar</t>
  </si>
  <si>
    <t>Apr</t>
  </si>
  <si>
    <t>Total Revenue</t>
  </si>
  <si>
    <t>Total Quantity</t>
  </si>
  <si>
    <t>Top Region</t>
  </si>
  <si>
    <t>KPI's</t>
  </si>
  <si>
    <t>Top 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</si>
</sst>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R&quot;#,##0"/>
  </numFmts>
  <fonts count="1" x14ac:knownFonts="1">
    <font>
      <sz val="11"/>
      <color theme="1"/>
      <name val="Calibri"/>
      <family val="2"/>
      <scheme val="minor"/>
    </font>
  </fonts>
  <fills count="3">
    <fill>
      <patternFill patternType="none"/>
    </fill>
    <fill>
      <patternFill patternType="gray125"/>
    </fill>
    <fill>
      <patternFill patternType="solid">
        <fgColor rgb="FF00B0F0"/>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14" fontId="0" fillId="0" borderId="0" xfId="0" applyNumberFormat="1"/>
    <xf numFmtId="0" fontId="0" fillId="2" borderId="0" xfId="0" applyFill="1"/>
    <xf numFmtId="164" fontId="0" fillId="0" borderId="0" xfId="0" applyNumberFormat="1"/>
    <xf numFmtId="0" fontId="0" fillId="0" borderId="0" xfId="0" applyNumberFormat="1"/>
  </cellXfs>
  <cellStyles count="1">
    <cellStyle name="Normal" xfId="0" builtinId="0"/>
  </cellStyles>
  <dxfs count="6">
    <dxf>
      <numFmt numFmtId="19" formatCode="yyyy/mm/dd"/>
    </dxf>
    <dxf>
      <numFmt numFmtId="0" formatCode="General"/>
    </dxf>
    <dxf>
      <numFmt numFmtId="0" formatCode="General"/>
    </dxf>
    <dxf>
      <numFmt numFmtId="0" formatCode="General"/>
    </dxf>
    <dxf>
      <numFmt numFmtId="0" formatCode="General"/>
    </dxf>
    <dxf>
      <numFmt numFmtId="19" formatCode="yyyy/mm/dd"/>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onnections" Target="connections.xml"/><Relationship Id="rId5" Type="http://schemas.microsoft.com/office/2007/relationships/slicerCache" Target="slicerCaches/slicerCache1.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11/relationships/timelineCache" Target="timelineCaches/timeline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pivotSource>
    <c:name>[Dashboard.xlsx]Pivot_Tables!Sales by Region</c:name>
    <c:fmtId val="2"/>
  </c:pivotSource>
  <c:chart>
    <c:autoTitleDeleted val="1"/>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numFmt formatCode="&quot;R&quot;#,##0.0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Pivot_Tables!$B$1</c:f>
              <c:strCache>
                <c:ptCount val="1"/>
                <c:pt idx="0">
                  <c:v>Total</c:v>
                </c:pt>
              </c:strCache>
            </c:strRef>
          </c:tx>
          <c:spPr>
            <a:solidFill>
              <a:schemeClr val="accent5"/>
            </a:solidFill>
            <a:ln>
              <a:noFill/>
            </a:ln>
            <a:effectLst/>
          </c:spPr>
          <c:invertIfNegative val="0"/>
          <c:dLbls>
            <c:numFmt formatCode="&quot;R&quot;#,##0.0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Pivot_Tables!$A$2:$A$6</c:f>
              <c:strCache>
                <c:ptCount val="4"/>
                <c:pt idx="0">
                  <c:v>East</c:v>
                </c:pt>
                <c:pt idx="1">
                  <c:v>North</c:v>
                </c:pt>
                <c:pt idx="2">
                  <c:v>South</c:v>
                </c:pt>
                <c:pt idx="3">
                  <c:v>West</c:v>
                </c:pt>
              </c:strCache>
            </c:strRef>
          </c:cat>
          <c:val>
            <c:numRef>
              <c:f>Pivot_Tables!$B$2:$B$6</c:f>
              <c:numCache>
                <c:formatCode>General</c:formatCode>
                <c:ptCount val="4"/>
                <c:pt idx="0">
                  <c:v>270000</c:v>
                </c:pt>
                <c:pt idx="1">
                  <c:v>260500</c:v>
                </c:pt>
                <c:pt idx="2">
                  <c:v>225000</c:v>
                </c:pt>
                <c:pt idx="3">
                  <c:v>148000</c:v>
                </c:pt>
              </c:numCache>
            </c:numRef>
          </c:val>
          <c:extLst>
            <c:ext xmlns:c16="http://schemas.microsoft.com/office/drawing/2014/chart" uri="{C3380CC4-5D6E-409C-BE32-E72D297353CC}">
              <c16:uniqueId val="{00000000-7C9C-46C7-A5F6-EAABD0407BDC}"/>
            </c:ext>
          </c:extLst>
        </c:ser>
        <c:dLbls>
          <c:dLblPos val="outEnd"/>
          <c:showLegendKey val="0"/>
          <c:showVal val="1"/>
          <c:showCatName val="0"/>
          <c:showSerName val="0"/>
          <c:showPercent val="0"/>
          <c:showBubbleSize val="0"/>
        </c:dLbls>
        <c:gapWidth val="182"/>
        <c:axId val="1296563616"/>
        <c:axId val="1296566496"/>
      </c:barChart>
      <c:catAx>
        <c:axId val="12965636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1296566496"/>
        <c:crosses val="autoZero"/>
        <c:auto val="1"/>
        <c:lblAlgn val="ctr"/>
        <c:lblOffset val="100"/>
        <c:noMultiLvlLbl val="0"/>
      </c:catAx>
      <c:valAx>
        <c:axId val="12965664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1296563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pivotSource>
    <c:name>[Dashboard.xlsx]Pivot_Tables!Monthly Revenue Trends</c:name>
    <c:fmtId val="2"/>
  </c:pivotSource>
  <c:chart>
    <c:autoTitleDeleted val="1"/>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5"/>
            </a:solidFill>
            <a:round/>
          </a:ln>
          <a:effectLst/>
        </c:spPr>
        <c:marker>
          <c:symbol val="none"/>
        </c:marker>
        <c:dLbl>
          <c:idx val="0"/>
          <c:numFmt formatCode="&quot;R&quot;#,##0.0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Pivot_Tables!$B$20</c:f>
              <c:strCache>
                <c:ptCount val="1"/>
                <c:pt idx="0">
                  <c:v>Total</c:v>
                </c:pt>
              </c:strCache>
            </c:strRef>
          </c:tx>
          <c:spPr>
            <a:ln w="28575" cap="rnd">
              <a:solidFill>
                <a:schemeClr val="accent5"/>
              </a:solidFill>
              <a:round/>
            </a:ln>
            <a:effectLst/>
          </c:spPr>
          <c:marker>
            <c:symbol val="none"/>
          </c:marker>
          <c:dLbls>
            <c:numFmt formatCode="&quot;R&quot;#,##0.0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Pivot_Tables!$A$21:$A$25</c:f>
              <c:strCache>
                <c:ptCount val="4"/>
                <c:pt idx="0">
                  <c:v>Jan</c:v>
                </c:pt>
                <c:pt idx="1">
                  <c:v>Feb</c:v>
                </c:pt>
                <c:pt idx="2">
                  <c:v>Mar</c:v>
                </c:pt>
                <c:pt idx="3">
                  <c:v>Apr</c:v>
                </c:pt>
              </c:strCache>
            </c:strRef>
          </c:cat>
          <c:val>
            <c:numRef>
              <c:f>Pivot_Tables!$B$21:$B$25</c:f>
              <c:numCache>
                <c:formatCode>General</c:formatCode>
                <c:ptCount val="4"/>
                <c:pt idx="0">
                  <c:v>160000</c:v>
                </c:pt>
                <c:pt idx="1">
                  <c:v>200500</c:v>
                </c:pt>
                <c:pt idx="2">
                  <c:v>271500</c:v>
                </c:pt>
                <c:pt idx="3">
                  <c:v>271500</c:v>
                </c:pt>
              </c:numCache>
            </c:numRef>
          </c:val>
          <c:smooth val="0"/>
          <c:extLst>
            <c:ext xmlns:c16="http://schemas.microsoft.com/office/drawing/2014/chart" uri="{C3380CC4-5D6E-409C-BE32-E72D297353CC}">
              <c16:uniqueId val="{00000000-0447-4903-BA87-8D467FBB29E0}"/>
            </c:ext>
          </c:extLst>
        </c:ser>
        <c:dLbls>
          <c:dLblPos val="t"/>
          <c:showLegendKey val="0"/>
          <c:showVal val="1"/>
          <c:showCatName val="0"/>
          <c:showSerName val="0"/>
          <c:showPercent val="0"/>
          <c:showBubbleSize val="0"/>
        </c:dLbls>
        <c:smooth val="0"/>
        <c:axId val="1296620736"/>
        <c:axId val="1296618336"/>
      </c:lineChart>
      <c:catAx>
        <c:axId val="12966207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1296618336"/>
        <c:crosses val="autoZero"/>
        <c:auto val="1"/>
        <c:lblAlgn val="ctr"/>
        <c:lblOffset val="100"/>
        <c:noMultiLvlLbl val="0"/>
      </c:catAx>
      <c:valAx>
        <c:axId val="1296618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1296620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pivotSource>
    <c:name>[Dashboard.xlsx]Pivot_Tables!Products of the Month</c:name>
    <c:fmtId val="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Pivot_Tables!$B$54:$B$55</c:f>
              <c:strCache>
                <c:ptCount val="1"/>
                <c:pt idx="0">
                  <c:v>Chair</c:v>
                </c:pt>
              </c:strCache>
            </c:strRef>
          </c:tx>
          <c:spPr>
            <a:solidFill>
              <a:schemeClr val="accent5">
                <a:tint val="54000"/>
              </a:schemeClr>
            </a:solidFill>
            <a:ln>
              <a:noFill/>
            </a:ln>
            <a:effectLst/>
          </c:spPr>
          <c:invertIfNegative val="0"/>
          <c:cat>
            <c:strRef>
              <c:f>Pivot_Tables!$A$56:$A$60</c:f>
              <c:strCache>
                <c:ptCount val="4"/>
                <c:pt idx="0">
                  <c:v>Jan</c:v>
                </c:pt>
                <c:pt idx="1">
                  <c:v>Feb</c:v>
                </c:pt>
                <c:pt idx="2">
                  <c:v>Mar</c:v>
                </c:pt>
                <c:pt idx="3">
                  <c:v>Apr</c:v>
                </c:pt>
              </c:strCache>
            </c:strRef>
          </c:cat>
          <c:val>
            <c:numRef>
              <c:f>Pivot_Tables!$B$56:$B$60</c:f>
              <c:numCache>
                <c:formatCode>General</c:formatCode>
                <c:ptCount val="4"/>
                <c:pt idx="1">
                  <c:v>22500</c:v>
                </c:pt>
                <c:pt idx="2">
                  <c:v>22500</c:v>
                </c:pt>
                <c:pt idx="3">
                  <c:v>13500</c:v>
                </c:pt>
              </c:numCache>
            </c:numRef>
          </c:val>
          <c:extLst>
            <c:ext xmlns:c16="http://schemas.microsoft.com/office/drawing/2014/chart" uri="{C3380CC4-5D6E-409C-BE32-E72D297353CC}">
              <c16:uniqueId val="{00000000-5DCC-48D1-BC32-5D5F9EFFF654}"/>
            </c:ext>
          </c:extLst>
        </c:ser>
        <c:ser>
          <c:idx val="1"/>
          <c:order val="1"/>
          <c:tx>
            <c:strRef>
              <c:f>Pivot_Tables!$C$54:$C$55</c:f>
              <c:strCache>
                <c:ptCount val="1"/>
                <c:pt idx="0">
                  <c:v>Desk</c:v>
                </c:pt>
              </c:strCache>
            </c:strRef>
          </c:tx>
          <c:spPr>
            <a:solidFill>
              <a:schemeClr val="accent5">
                <a:tint val="77000"/>
              </a:schemeClr>
            </a:solidFill>
            <a:ln>
              <a:noFill/>
            </a:ln>
            <a:effectLst/>
          </c:spPr>
          <c:invertIfNegative val="0"/>
          <c:cat>
            <c:strRef>
              <c:f>Pivot_Tables!$A$56:$A$60</c:f>
              <c:strCache>
                <c:ptCount val="4"/>
                <c:pt idx="0">
                  <c:v>Jan</c:v>
                </c:pt>
                <c:pt idx="1">
                  <c:v>Feb</c:v>
                </c:pt>
                <c:pt idx="2">
                  <c:v>Mar</c:v>
                </c:pt>
                <c:pt idx="3">
                  <c:v>Apr</c:v>
                </c:pt>
              </c:strCache>
            </c:strRef>
          </c:cat>
          <c:val>
            <c:numRef>
              <c:f>Pivot_Tables!$C$56:$C$60</c:f>
              <c:numCache>
                <c:formatCode>General</c:formatCode>
                <c:ptCount val="4"/>
                <c:pt idx="0">
                  <c:v>6000</c:v>
                </c:pt>
                <c:pt idx="1">
                  <c:v>24000</c:v>
                </c:pt>
                <c:pt idx="2">
                  <c:v>21000</c:v>
                </c:pt>
                <c:pt idx="3">
                  <c:v>24000</c:v>
                </c:pt>
              </c:numCache>
            </c:numRef>
          </c:val>
          <c:extLst>
            <c:ext xmlns:c16="http://schemas.microsoft.com/office/drawing/2014/chart" uri="{C3380CC4-5D6E-409C-BE32-E72D297353CC}">
              <c16:uniqueId val="{0000000F-FC4F-4877-B825-4B311FCC7DEE}"/>
            </c:ext>
          </c:extLst>
        </c:ser>
        <c:ser>
          <c:idx val="2"/>
          <c:order val="2"/>
          <c:tx>
            <c:strRef>
              <c:f>Pivot_Tables!$D$54:$D$55</c:f>
              <c:strCache>
                <c:ptCount val="1"/>
                <c:pt idx="0">
                  <c:v>Laptop</c:v>
                </c:pt>
              </c:strCache>
            </c:strRef>
          </c:tx>
          <c:spPr>
            <a:solidFill>
              <a:schemeClr val="accent5"/>
            </a:solidFill>
            <a:ln>
              <a:noFill/>
            </a:ln>
            <a:effectLst/>
          </c:spPr>
          <c:invertIfNegative val="0"/>
          <c:cat>
            <c:strRef>
              <c:f>Pivot_Tables!$A$56:$A$60</c:f>
              <c:strCache>
                <c:ptCount val="4"/>
                <c:pt idx="0">
                  <c:v>Jan</c:v>
                </c:pt>
                <c:pt idx="1">
                  <c:v>Feb</c:v>
                </c:pt>
                <c:pt idx="2">
                  <c:v>Mar</c:v>
                </c:pt>
                <c:pt idx="3">
                  <c:v>Apr</c:v>
                </c:pt>
              </c:strCache>
            </c:strRef>
          </c:cat>
          <c:val>
            <c:numRef>
              <c:f>Pivot_Tables!$D$56:$D$60</c:f>
              <c:numCache>
                <c:formatCode>General</c:formatCode>
                <c:ptCount val="4"/>
                <c:pt idx="0">
                  <c:v>36000</c:v>
                </c:pt>
                <c:pt idx="1">
                  <c:v>36000</c:v>
                </c:pt>
                <c:pt idx="2">
                  <c:v>60000</c:v>
                </c:pt>
                <c:pt idx="3">
                  <c:v>48000</c:v>
                </c:pt>
              </c:numCache>
            </c:numRef>
          </c:val>
          <c:extLst>
            <c:ext xmlns:c16="http://schemas.microsoft.com/office/drawing/2014/chart" uri="{C3380CC4-5D6E-409C-BE32-E72D297353CC}">
              <c16:uniqueId val="{00000010-FC4F-4877-B825-4B311FCC7DEE}"/>
            </c:ext>
          </c:extLst>
        </c:ser>
        <c:ser>
          <c:idx val="3"/>
          <c:order val="3"/>
          <c:tx>
            <c:strRef>
              <c:f>Pivot_Tables!$E$54:$E$55</c:f>
              <c:strCache>
                <c:ptCount val="1"/>
                <c:pt idx="0">
                  <c:v>Phone</c:v>
                </c:pt>
              </c:strCache>
            </c:strRef>
          </c:tx>
          <c:spPr>
            <a:solidFill>
              <a:schemeClr val="accent5">
                <a:shade val="76000"/>
              </a:schemeClr>
            </a:solidFill>
            <a:ln>
              <a:noFill/>
            </a:ln>
            <a:effectLst/>
          </c:spPr>
          <c:invertIfNegative val="0"/>
          <c:cat>
            <c:strRef>
              <c:f>Pivot_Tables!$A$56:$A$60</c:f>
              <c:strCache>
                <c:ptCount val="4"/>
                <c:pt idx="0">
                  <c:v>Jan</c:v>
                </c:pt>
                <c:pt idx="1">
                  <c:v>Feb</c:v>
                </c:pt>
                <c:pt idx="2">
                  <c:v>Mar</c:v>
                </c:pt>
                <c:pt idx="3">
                  <c:v>Apr</c:v>
                </c:pt>
              </c:strCache>
            </c:strRef>
          </c:cat>
          <c:val>
            <c:numRef>
              <c:f>Pivot_Tables!$E$56:$E$60</c:f>
              <c:numCache>
                <c:formatCode>General</c:formatCode>
                <c:ptCount val="4"/>
                <c:pt idx="0">
                  <c:v>88000</c:v>
                </c:pt>
                <c:pt idx="1">
                  <c:v>88000</c:v>
                </c:pt>
                <c:pt idx="2">
                  <c:v>120000</c:v>
                </c:pt>
                <c:pt idx="3">
                  <c:v>144000</c:v>
                </c:pt>
              </c:numCache>
            </c:numRef>
          </c:val>
          <c:extLst>
            <c:ext xmlns:c16="http://schemas.microsoft.com/office/drawing/2014/chart" uri="{C3380CC4-5D6E-409C-BE32-E72D297353CC}">
              <c16:uniqueId val="{00000011-FC4F-4877-B825-4B311FCC7DEE}"/>
            </c:ext>
          </c:extLst>
        </c:ser>
        <c:ser>
          <c:idx val="4"/>
          <c:order val="4"/>
          <c:tx>
            <c:strRef>
              <c:f>Pivot_Tables!$F$54:$F$55</c:f>
              <c:strCache>
                <c:ptCount val="1"/>
                <c:pt idx="0">
                  <c:v>Tablet</c:v>
                </c:pt>
              </c:strCache>
            </c:strRef>
          </c:tx>
          <c:spPr>
            <a:solidFill>
              <a:schemeClr val="accent5">
                <a:shade val="53000"/>
              </a:schemeClr>
            </a:solidFill>
            <a:ln>
              <a:noFill/>
            </a:ln>
            <a:effectLst/>
          </c:spPr>
          <c:invertIfNegative val="0"/>
          <c:cat>
            <c:strRef>
              <c:f>Pivot_Tables!$A$56:$A$60</c:f>
              <c:strCache>
                <c:ptCount val="4"/>
                <c:pt idx="0">
                  <c:v>Jan</c:v>
                </c:pt>
                <c:pt idx="1">
                  <c:v>Feb</c:v>
                </c:pt>
                <c:pt idx="2">
                  <c:v>Mar</c:v>
                </c:pt>
                <c:pt idx="3">
                  <c:v>Apr</c:v>
                </c:pt>
              </c:strCache>
            </c:strRef>
          </c:cat>
          <c:val>
            <c:numRef>
              <c:f>Pivot_Tables!$F$56:$F$60</c:f>
              <c:numCache>
                <c:formatCode>General</c:formatCode>
                <c:ptCount val="4"/>
                <c:pt idx="0">
                  <c:v>30000</c:v>
                </c:pt>
                <c:pt idx="1">
                  <c:v>30000</c:v>
                </c:pt>
                <c:pt idx="2">
                  <c:v>48000</c:v>
                </c:pt>
                <c:pt idx="3">
                  <c:v>42000</c:v>
                </c:pt>
              </c:numCache>
            </c:numRef>
          </c:val>
          <c:extLst>
            <c:ext xmlns:c16="http://schemas.microsoft.com/office/drawing/2014/chart" uri="{C3380CC4-5D6E-409C-BE32-E72D297353CC}">
              <c16:uniqueId val="{00000012-FC4F-4877-B825-4B311FCC7DEE}"/>
            </c:ext>
          </c:extLst>
        </c:ser>
        <c:dLbls>
          <c:showLegendKey val="0"/>
          <c:showVal val="0"/>
          <c:showCatName val="0"/>
          <c:showSerName val="0"/>
          <c:showPercent val="0"/>
          <c:showBubbleSize val="0"/>
        </c:dLbls>
        <c:gapWidth val="219"/>
        <c:overlap val="-27"/>
        <c:axId val="1296628416"/>
        <c:axId val="1296628896"/>
      </c:barChart>
      <c:catAx>
        <c:axId val="12966284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1296628896"/>
        <c:crosses val="autoZero"/>
        <c:auto val="1"/>
        <c:lblAlgn val="ctr"/>
        <c:lblOffset val="100"/>
        <c:noMultiLvlLbl val="0"/>
      </c:catAx>
      <c:valAx>
        <c:axId val="1296628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129662841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[Dashboard.xlsx]Pivot_Tables!Salesperson Performance Monthly</c:name>
    <c:fmtId val="3"/>
  </c:pivotSource>
  <c:chart>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quot;R&quot;#,##0.00" sourceLinked="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numFmt formatCode="&quot;R&quot;#,##0.00" sourceLinked="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numFmt formatCode="&quot;R&quot;#,##0.00" sourceLinked="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numFmt formatCode="&quot;R&quot;#,##0.00" sourceLinked="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layout>
            <c:manualLayout>
              <c:x val="-4.0018518518518627E-2"/>
              <c:y val="-3.9657385372260316E-2"/>
            </c:manualLayout>
          </c:layout>
          <c:numFmt formatCode="&quot;R&quot;#,##0.00" sourceLinked="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layout>
            <c:manualLayout>
              <c:x val="-4.1497670626601445E-2"/>
              <c:y val="-5.3442291984945274E-2"/>
            </c:manualLayout>
          </c:layout>
          <c:numFmt formatCode="&quot;R&quot;#,##0.00" sourceLinked="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layout>
            <c:manualLayout>
              <c:x val="-4.7414279058933147E-2"/>
              <c:y val="-4.9996065331773941E-2"/>
            </c:manualLayout>
          </c:layout>
          <c:numFmt formatCode="&quot;R&quot;#,##0.00" sourceLinked="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layout>
            <c:manualLayout>
              <c:x val="-6.516410435592826E-2"/>
              <c:y val="1.89284677316502E-2"/>
            </c:manualLayout>
          </c:layout>
          <c:numFmt formatCode="&quot;R&quot;#,##0.00" sourceLinked="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layout>
            <c:manualLayout>
              <c:x val="-4.4455974842767323E-2"/>
              <c:y val="-3.9657385372260379E-2"/>
            </c:manualLayout>
          </c:layout>
          <c:numFmt formatCode="&quot;R&quot;#,##0.00" sourceLinked="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layout>
            <c:manualLayout>
              <c:x val="-4.4455974842767296E-2"/>
              <c:y val="-4.6549838678602733E-2"/>
            </c:manualLayout>
          </c:layout>
          <c:numFmt formatCode="&quot;R&quot;#,##0.00" sourceLinked="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layout>
            <c:manualLayout>
              <c:x val="-4.2976822734684395E-2"/>
              <c:y val="-4.3103612025431559E-2"/>
            </c:manualLayout>
          </c:layout>
          <c:numFmt formatCode="&quot;R&quot;#,##0.00" sourceLinked="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Pivot_Tables!$B$64:$B$67</c:f>
              <c:strCache>
                <c:ptCount val="1"/>
                <c:pt idx="0">
                  <c:v>Jan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numFmt formatCode="&quot;R&quot;#,##0.00" sourceLinked="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Pivot_Tables!$A$68:$A$73</c:f>
              <c:strCache>
                <c:ptCount val="5"/>
                <c:pt idx="0">
                  <c:v>David</c:v>
                </c:pt>
                <c:pt idx="1">
                  <c:v>John</c:v>
                </c:pt>
                <c:pt idx="2">
                  <c:v>Mary</c:v>
                </c:pt>
                <c:pt idx="3">
                  <c:v>Sarah</c:v>
                </c:pt>
                <c:pt idx="4">
                  <c:v>Unknown</c:v>
                </c:pt>
              </c:strCache>
            </c:strRef>
          </c:cat>
          <c:val>
            <c:numRef>
              <c:f>Pivot_Tables!$B$68:$B$73</c:f>
              <c:numCache>
                <c:formatCode>General</c:formatCode>
                <c:ptCount val="5"/>
                <c:pt idx="0">
                  <c:v>66000</c:v>
                </c:pt>
                <c:pt idx="1">
                  <c:v>30000</c:v>
                </c:pt>
                <c:pt idx="2">
                  <c:v>52000</c:v>
                </c:pt>
                <c:pt idx="3">
                  <c:v>12000</c:v>
                </c:pt>
              </c:numCache>
            </c:numRef>
          </c:val>
          <c:smooth val="0"/>
          <c:extLst>
            <c:ext xmlns:c16="http://schemas.microsoft.com/office/drawing/2014/chart" uri="{C3380CC4-5D6E-409C-BE32-E72D297353CC}">
              <c16:uniqueId val="{00000000-8BE1-4F17-B658-7E574EDDA109}"/>
            </c:ext>
          </c:extLst>
        </c:ser>
        <c:ser>
          <c:idx val="1"/>
          <c:order val="1"/>
          <c:tx>
            <c:strRef>
              <c:f>Pivot_Tables!$C$64:$C$67</c:f>
              <c:strCache>
                <c:ptCount val="1"/>
                <c:pt idx="0">
                  <c:v>Feb</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Pt>
            <c:idx val="3"/>
            <c:marker>
              <c:symbol val="circle"/>
              <c:size val="5"/>
              <c:spPr>
                <a:solidFill>
                  <a:schemeClr val="accent3"/>
                </a:solidFill>
                <a:ln w="9525">
                  <a:solidFill>
                    <a:schemeClr val="accent3"/>
                  </a:solidFill>
                </a:ln>
                <a:effectLst/>
              </c:spPr>
            </c:marker>
            <c:bubble3D val="0"/>
            <c:spPr>
              <a:ln w="28575" cap="rnd">
                <a:solidFill>
                  <a:schemeClr val="accent3"/>
                </a:solidFill>
                <a:round/>
              </a:ln>
              <a:effectLst/>
            </c:spPr>
            <c:extLst>
              <c:ext xmlns:c16="http://schemas.microsoft.com/office/drawing/2014/chart" uri="{C3380CC4-5D6E-409C-BE32-E72D297353CC}">
                <c16:uniqueId val="{00000001-BE35-4292-88E3-9653B484C7BF}"/>
              </c:ext>
            </c:extLst>
          </c:dPt>
          <c:dLbls>
            <c:dLbl>
              <c:idx val="3"/>
              <c:layout>
                <c:manualLayout>
                  <c:x val="-4.0018518518518627E-2"/>
                  <c:y val="-3.965738537226031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E35-4292-88E3-9653B484C7BF}"/>
                </c:ext>
              </c:extLst>
            </c:dLbl>
            <c:numFmt formatCode="&quot;R&quot;#,##0.00" sourceLinked="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Pivot_Tables!$A$68:$A$73</c:f>
              <c:strCache>
                <c:ptCount val="5"/>
                <c:pt idx="0">
                  <c:v>David</c:v>
                </c:pt>
                <c:pt idx="1">
                  <c:v>John</c:v>
                </c:pt>
                <c:pt idx="2">
                  <c:v>Mary</c:v>
                </c:pt>
                <c:pt idx="3">
                  <c:v>Sarah</c:v>
                </c:pt>
                <c:pt idx="4">
                  <c:v>Unknown</c:v>
                </c:pt>
              </c:strCache>
            </c:strRef>
          </c:cat>
          <c:val>
            <c:numRef>
              <c:f>Pivot_Tables!$C$68:$C$73</c:f>
              <c:numCache>
                <c:formatCode>General</c:formatCode>
                <c:ptCount val="5"/>
                <c:pt idx="0">
                  <c:v>36000</c:v>
                </c:pt>
                <c:pt idx="1">
                  <c:v>81500</c:v>
                </c:pt>
                <c:pt idx="2">
                  <c:v>21000</c:v>
                </c:pt>
                <c:pt idx="3">
                  <c:v>53000</c:v>
                </c:pt>
                <c:pt idx="4">
                  <c:v>9000</c:v>
                </c:pt>
              </c:numCache>
            </c:numRef>
          </c:val>
          <c:smooth val="0"/>
          <c:extLst>
            <c:ext xmlns:c16="http://schemas.microsoft.com/office/drawing/2014/chart" uri="{C3380CC4-5D6E-409C-BE32-E72D297353CC}">
              <c16:uniqueId val="{0000000F-1E96-4179-B2E6-ECA064132FD3}"/>
            </c:ext>
          </c:extLst>
        </c:ser>
        <c:ser>
          <c:idx val="2"/>
          <c:order val="2"/>
          <c:tx>
            <c:strRef>
              <c:f>Pivot_Tables!$D$64:$D$67</c:f>
              <c:strCache>
                <c:ptCount val="1"/>
                <c:pt idx="0">
                  <c:v>Mar</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dPt>
            <c:idx val="0"/>
            <c:marker>
              <c:symbol val="circle"/>
              <c:size val="5"/>
              <c:spPr>
                <a:solidFill>
                  <a:schemeClr val="accent5"/>
                </a:solidFill>
                <a:ln w="9525">
                  <a:solidFill>
                    <a:schemeClr val="accent5"/>
                  </a:solidFill>
                </a:ln>
                <a:effectLst/>
              </c:spPr>
            </c:marker>
            <c:bubble3D val="0"/>
            <c:spPr>
              <a:ln w="28575" cap="rnd">
                <a:solidFill>
                  <a:schemeClr val="accent5"/>
                </a:solidFill>
                <a:round/>
              </a:ln>
              <a:effectLst/>
            </c:spPr>
            <c:extLst>
              <c:ext xmlns:c16="http://schemas.microsoft.com/office/drawing/2014/chart" uri="{C3380CC4-5D6E-409C-BE32-E72D297353CC}">
                <c16:uniqueId val="{00000003-BE35-4292-88E3-9653B484C7BF}"/>
              </c:ext>
            </c:extLst>
          </c:dPt>
          <c:dPt>
            <c:idx val="2"/>
            <c:marker>
              <c:symbol val="circle"/>
              <c:size val="5"/>
              <c:spPr>
                <a:solidFill>
                  <a:schemeClr val="accent5"/>
                </a:solidFill>
                <a:ln w="9525">
                  <a:solidFill>
                    <a:schemeClr val="accent5"/>
                  </a:solidFill>
                </a:ln>
                <a:effectLst/>
              </c:spPr>
            </c:marker>
            <c:bubble3D val="0"/>
            <c:spPr>
              <a:ln w="28575" cap="rnd">
                <a:solidFill>
                  <a:schemeClr val="accent5"/>
                </a:solidFill>
                <a:round/>
              </a:ln>
              <a:effectLst/>
            </c:spPr>
            <c:extLst>
              <c:ext xmlns:c16="http://schemas.microsoft.com/office/drawing/2014/chart" uri="{C3380CC4-5D6E-409C-BE32-E72D297353CC}">
                <c16:uniqueId val="{00000005-BE35-4292-88E3-9653B484C7BF}"/>
              </c:ext>
            </c:extLst>
          </c:dPt>
          <c:dLbls>
            <c:dLbl>
              <c:idx val="0"/>
              <c:layout>
                <c:manualLayout>
                  <c:x val="-4.2976822734684395E-2"/>
                  <c:y val="-4.310361202543155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E35-4292-88E3-9653B484C7BF}"/>
                </c:ext>
              </c:extLst>
            </c:dLbl>
            <c:dLbl>
              <c:idx val="2"/>
              <c:layout>
                <c:manualLayout>
                  <c:x val="-4.7414279058933147E-2"/>
                  <c:y val="-4.999606533177394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E35-4292-88E3-9653B484C7BF}"/>
                </c:ext>
              </c:extLst>
            </c:dLbl>
            <c:numFmt formatCode="&quot;R&quot;#,##0.00" sourceLinked="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Pivot_Tables!$A$68:$A$73</c:f>
              <c:strCache>
                <c:ptCount val="5"/>
                <c:pt idx="0">
                  <c:v>David</c:v>
                </c:pt>
                <c:pt idx="1">
                  <c:v>John</c:v>
                </c:pt>
                <c:pt idx="2">
                  <c:v>Mary</c:v>
                </c:pt>
                <c:pt idx="3">
                  <c:v>Sarah</c:v>
                </c:pt>
                <c:pt idx="4">
                  <c:v>Unknown</c:v>
                </c:pt>
              </c:strCache>
            </c:strRef>
          </c:cat>
          <c:val>
            <c:numRef>
              <c:f>Pivot_Tables!$D$68:$D$73</c:f>
              <c:numCache>
                <c:formatCode>General</c:formatCode>
                <c:ptCount val="5"/>
                <c:pt idx="0">
                  <c:v>96000</c:v>
                </c:pt>
                <c:pt idx="1">
                  <c:v>55500</c:v>
                </c:pt>
                <c:pt idx="2">
                  <c:v>70000</c:v>
                </c:pt>
                <c:pt idx="3">
                  <c:v>50000</c:v>
                </c:pt>
              </c:numCache>
            </c:numRef>
          </c:val>
          <c:smooth val="0"/>
          <c:extLst>
            <c:ext xmlns:c16="http://schemas.microsoft.com/office/drawing/2014/chart" uri="{C3380CC4-5D6E-409C-BE32-E72D297353CC}">
              <c16:uniqueId val="{00000010-1E96-4179-B2E6-ECA064132FD3}"/>
            </c:ext>
          </c:extLst>
        </c:ser>
        <c:ser>
          <c:idx val="3"/>
          <c:order val="3"/>
          <c:tx>
            <c:strRef>
              <c:f>Pivot_Tables!$E$64:$E$67</c:f>
              <c:strCache>
                <c:ptCount val="1"/>
                <c:pt idx="0">
                  <c:v>Apr</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dPt>
            <c:idx val="0"/>
            <c:marker>
              <c:symbol val="circle"/>
              <c:size val="5"/>
              <c:spPr>
                <a:solidFill>
                  <a:schemeClr val="accent1">
                    <a:lumMod val="60000"/>
                  </a:schemeClr>
                </a:solidFill>
                <a:ln w="9525">
                  <a:solidFill>
                    <a:schemeClr val="accent1">
                      <a:lumMod val="60000"/>
                    </a:schemeClr>
                  </a:solidFill>
                </a:ln>
                <a:effectLst/>
              </c:spPr>
            </c:marker>
            <c:bubble3D val="0"/>
            <c:spPr>
              <a:ln w="28575" cap="rnd">
                <a:solidFill>
                  <a:schemeClr val="accent1">
                    <a:lumMod val="60000"/>
                  </a:schemeClr>
                </a:solidFill>
                <a:round/>
              </a:ln>
              <a:effectLst/>
            </c:spPr>
          </c:dPt>
          <c:dPt>
            <c:idx val="1"/>
            <c:marker>
              <c:symbol val="circle"/>
              <c:size val="5"/>
              <c:spPr>
                <a:solidFill>
                  <a:schemeClr val="accent1">
                    <a:lumMod val="60000"/>
                  </a:schemeClr>
                </a:solidFill>
                <a:ln w="9525">
                  <a:solidFill>
                    <a:schemeClr val="accent1">
                      <a:lumMod val="60000"/>
                    </a:schemeClr>
                  </a:solidFill>
                </a:ln>
                <a:effectLst/>
              </c:spPr>
            </c:marker>
            <c:bubble3D val="0"/>
            <c:spPr>
              <a:ln w="28575" cap="rnd">
                <a:solidFill>
                  <a:schemeClr val="accent1">
                    <a:lumMod val="60000"/>
                  </a:schemeClr>
                </a:solidFill>
                <a:round/>
              </a:ln>
              <a:effectLst/>
            </c:spPr>
          </c:dPt>
          <c:dPt>
            <c:idx val="2"/>
            <c:marker>
              <c:symbol val="circle"/>
              <c:size val="5"/>
              <c:spPr>
                <a:solidFill>
                  <a:schemeClr val="accent1">
                    <a:lumMod val="60000"/>
                  </a:schemeClr>
                </a:solidFill>
                <a:ln w="9525">
                  <a:solidFill>
                    <a:schemeClr val="accent1">
                      <a:lumMod val="60000"/>
                    </a:schemeClr>
                  </a:solidFill>
                </a:ln>
                <a:effectLst/>
              </c:spPr>
            </c:marker>
            <c:bubble3D val="0"/>
            <c:spPr>
              <a:ln w="28575" cap="rnd">
                <a:solidFill>
                  <a:schemeClr val="accent1">
                    <a:lumMod val="60000"/>
                  </a:schemeClr>
                </a:solidFill>
                <a:round/>
              </a:ln>
              <a:effectLst/>
            </c:spPr>
          </c:dPt>
          <c:dPt>
            <c:idx val="4"/>
            <c:marker>
              <c:symbol val="circle"/>
              <c:size val="5"/>
              <c:spPr>
                <a:solidFill>
                  <a:schemeClr val="accent1">
                    <a:lumMod val="60000"/>
                  </a:schemeClr>
                </a:solidFill>
                <a:ln w="9525">
                  <a:solidFill>
                    <a:schemeClr val="accent1">
                      <a:lumMod val="60000"/>
                    </a:schemeClr>
                  </a:solidFill>
                </a:ln>
                <a:effectLst/>
              </c:spPr>
            </c:marker>
            <c:bubble3D val="0"/>
            <c:spPr>
              <a:ln w="28575" cap="rnd">
                <a:solidFill>
                  <a:schemeClr val="accent1">
                    <a:lumMod val="60000"/>
                  </a:schemeClr>
                </a:solidFill>
                <a:round/>
              </a:ln>
              <a:effectLst/>
            </c:spPr>
          </c:dPt>
          <c:dLbls>
            <c:dLbl>
              <c:idx val="0"/>
              <c:layout>
                <c:manualLayout>
                  <c:x val="-4.4455974842767323E-2"/>
                  <c:y val="-3.9657385372260379E-2"/>
                </c:manualLayout>
              </c:layout>
              <c:dLblPos val="r"/>
              <c:showLegendKey val="0"/>
              <c:showVal val="1"/>
              <c:showCatName val="0"/>
              <c:showSerName val="0"/>
              <c:showPercent val="0"/>
              <c:showBubbleSize val="0"/>
              <c:extLst>
                <c:ext xmlns:c15="http://schemas.microsoft.com/office/drawing/2012/chart" uri="{CE6537A1-D6FC-4f65-9D91-7224C49458BB}"/>
              </c:extLst>
            </c:dLbl>
            <c:dLbl>
              <c:idx val="1"/>
              <c:layout>
                <c:manualLayout>
                  <c:x val="-4.4455974842767296E-2"/>
                  <c:y val="-4.6549838678602733E-2"/>
                </c:manualLayout>
              </c:layout>
              <c:dLblPos val="r"/>
              <c:showLegendKey val="0"/>
              <c:showVal val="1"/>
              <c:showCatName val="0"/>
              <c:showSerName val="0"/>
              <c:showPercent val="0"/>
              <c:showBubbleSize val="0"/>
              <c:extLst>
                <c:ext xmlns:c15="http://schemas.microsoft.com/office/drawing/2012/chart" uri="{CE6537A1-D6FC-4f65-9D91-7224C49458BB}"/>
              </c:extLst>
            </c:dLbl>
            <c:dLbl>
              <c:idx val="2"/>
              <c:layout>
                <c:manualLayout>
                  <c:x val="-6.516410435592826E-2"/>
                  <c:y val="1.89284677316502E-2"/>
                </c:manualLayout>
              </c:layout>
              <c:dLblPos val="r"/>
              <c:showLegendKey val="0"/>
              <c:showVal val="1"/>
              <c:showCatName val="0"/>
              <c:showSerName val="0"/>
              <c:showPercent val="0"/>
              <c:showBubbleSize val="0"/>
              <c:extLst>
                <c:ext xmlns:c15="http://schemas.microsoft.com/office/drawing/2012/chart" uri="{CE6537A1-D6FC-4f65-9D91-7224C49458BB}"/>
              </c:extLst>
            </c:dLbl>
            <c:dLbl>
              <c:idx val="4"/>
              <c:layout>
                <c:manualLayout>
                  <c:x val="-4.1497670626601445E-2"/>
                  <c:y val="-5.3442291984945274E-2"/>
                </c:manualLayout>
              </c:layout>
              <c:dLblPos val="r"/>
              <c:showLegendKey val="0"/>
              <c:showVal val="1"/>
              <c:showCatName val="0"/>
              <c:showSerName val="0"/>
              <c:showPercent val="0"/>
              <c:showBubbleSize val="0"/>
              <c:extLst>
                <c:ext xmlns:c15="http://schemas.microsoft.com/office/drawing/2012/chart" uri="{CE6537A1-D6FC-4f65-9D91-7224C49458BB}"/>
              </c:extLst>
            </c:dLbl>
            <c:numFmt formatCode="&quot;R&quot;#,##0.00" sourceLinked="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Pivot_Tables!$A$68:$A$73</c:f>
              <c:strCache>
                <c:ptCount val="5"/>
                <c:pt idx="0">
                  <c:v>David</c:v>
                </c:pt>
                <c:pt idx="1">
                  <c:v>John</c:v>
                </c:pt>
                <c:pt idx="2">
                  <c:v>Mary</c:v>
                </c:pt>
                <c:pt idx="3">
                  <c:v>Sarah</c:v>
                </c:pt>
                <c:pt idx="4">
                  <c:v>Unknown</c:v>
                </c:pt>
              </c:strCache>
            </c:strRef>
          </c:cat>
          <c:val>
            <c:numRef>
              <c:f>Pivot_Tables!$E$68:$E$73</c:f>
              <c:numCache>
                <c:formatCode>General</c:formatCode>
                <c:ptCount val="5"/>
                <c:pt idx="0">
                  <c:v>72000</c:v>
                </c:pt>
                <c:pt idx="1">
                  <c:v>93500</c:v>
                </c:pt>
                <c:pt idx="2">
                  <c:v>61000</c:v>
                </c:pt>
                <c:pt idx="3">
                  <c:v>33000</c:v>
                </c:pt>
                <c:pt idx="4">
                  <c:v>12000</c:v>
                </c:pt>
              </c:numCache>
            </c:numRef>
          </c:val>
          <c:smooth val="0"/>
          <c:extLst>
            <c:ext xmlns:c16="http://schemas.microsoft.com/office/drawing/2014/chart" uri="{C3380CC4-5D6E-409C-BE32-E72D297353CC}">
              <c16:uniqueId val="{00000010-BE35-4292-88E3-9653B484C7BF}"/>
            </c:ext>
          </c:extLst>
        </c:ser>
        <c:dLbls>
          <c:dLblPos val="b"/>
          <c:showLegendKey val="0"/>
          <c:showVal val="1"/>
          <c:showCatName val="0"/>
          <c:showSerName val="0"/>
          <c:showPercent val="0"/>
          <c:showBubbleSize val="0"/>
        </c:dLbls>
        <c:marker val="1"/>
        <c:smooth val="0"/>
        <c:axId val="1171604016"/>
        <c:axId val="1171604976"/>
      </c:lineChart>
      <c:catAx>
        <c:axId val="11716040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1171604976"/>
        <c:crosses val="autoZero"/>
        <c:auto val="1"/>
        <c:lblAlgn val="ctr"/>
        <c:lblOffset val="100"/>
        <c:noMultiLvlLbl val="0"/>
      </c:catAx>
      <c:valAx>
        <c:axId val="1171604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117160401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[Dashboard.xlsx]Pivot_Tables!Product Category Distribution</c:name>
    <c:fmtId val="2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Pivot_Tables!$B$39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A01-41EB-B276-2BEE3F2AB711}"/>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5A01-41EB-B276-2BEE3F2AB711}"/>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5A01-41EB-B276-2BEE3F2AB711}"/>
              </c:ext>
            </c:extLst>
          </c:dPt>
          <c:dPt>
            <c:idx val="3"/>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7-5A01-41EB-B276-2BEE3F2AB711}"/>
              </c:ext>
            </c:extLst>
          </c:dPt>
          <c:dPt>
            <c:idx val="4"/>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09-5A01-41EB-B276-2BEE3F2AB711}"/>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Pivot_Tables!$A$40:$A$50</c:f>
              <c:multiLvlStrCache>
                <c:ptCount val="5"/>
                <c:lvl>
                  <c:pt idx="0">
                    <c:v>Furniture</c:v>
                  </c:pt>
                  <c:pt idx="1">
                    <c:v>Furniture</c:v>
                  </c:pt>
                  <c:pt idx="2">
                    <c:v>Electronics</c:v>
                  </c:pt>
                  <c:pt idx="3">
                    <c:v>Electronics</c:v>
                  </c:pt>
                  <c:pt idx="4">
                    <c:v>Electronics</c:v>
                  </c:pt>
                </c:lvl>
                <c:lvl>
                  <c:pt idx="0">
                    <c:v>Chair</c:v>
                  </c:pt>
                  <c:pt idx="1">
                    <c:v>Desk</c:v>
                  </c:pt>
                  <c:pt idx="2">
                    <c:v>Laptop</c:v>
                  </c:pt>
                  <c:pt idx="3">
                    <c:v>Phone</c:v>
                  </c:pt>
                  <c:pt idx="4">
                    <c:v>Tablet</c:v>
                  </c:pt>
                </c:lvl>
              </c:multiLvlStrCache>
            </c:multiLvlStrRef>
          </c:cat>
          <c:val>
            <c:numRef>
              <c:f>Pivot_Tables!$B$40:$B$50</c:f>
              <c:numCache>
                <c:formatCode>General</c:formatCode>
                <c:ptCount val="5"/>
                <c:pt idx="0">
                  <c:v>58500</c:v>
                </c:pt>
                <c:pt idx="1">
                  <c:v>75000</c:v>
                </c:pt>
                <c:pt idx="2">
                  <c:v>180000</c:v>
                </c:pt>
                <c:pt idx="3">
                  <c:v>440000</c:v>
                </c:pt>
                <c:pt idx="4">
                  <c:v>150000</c:v>
                </c:pt>
              </c:numCache>
            </c:numRef>
          </c:val>
          <c:extLst>
            <c:ext xmlns:c16="http://schemas.microsoft.com/office/drawing/2014/chart" uri="{C3380CC4-5D6E-409C-BE32-E72D297353CC}">
              <c16:uniqueId val="{0000000A-5A01-41EB-B276-2BEE3F2AB711}"/>
            </c:ext>
          </c:extLst>
        </c:ser>
        <c:dLbls>
          <c:showLegendKey val="0"/>
          <c:showVal val="0"/>
          <c:showCatName val="0"/>
          <c:showSerName val="0"/>
          <c:showPercent val="0"/>
          <c:showBubbleSize val="0"/>
          <c:showLeaderLines val="1"/>
        </c:dLbls>
        <c:firstSliceAng val="0"/>
      </c:pieChart>
      <c:spPr>
        <a:noFill/>
        <a:ln>
          <a:noFill/>
        </a:ln>
        <a:effectLst/>
      </c:spPr>
    </c:plotArea>
    <c:legend>
      <c:legendPos val="t"/>
      <c:layout>
        <c:manualLayout>
          <c:xMode val="edge"/>
          <c:yMode val="edge"/>
          <c:x val="1.8434270338956824E-3"/>
          <c:y val="2.4782139947541217E-2"/>
          <c:w val="0.99631296388332125"/>
          <c:h val="0.15320045726625678"/>
        </c:manualLayout>
      </c:layout>
      <c:overlay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5">
  <a:schemeClr val="accent5"/>
</cs:colorStyle>
</file>

<file path=xl/charts/colors2.xml><?xml version="1.0" encoding="utf-8"?>
<cs:colorStyle xmlns:cs="http://schemas.microsoft.com/office/drawing/2012/chartStyle" xmlns:a="http://schemas.openxmlformats.org/drawingml/2006/main" meth="withinLinearReversed" id="25">
  <a:schemeClr val="accent5"/>
</cs:colorStyle>
</file>

<file path=xl/charts/colors3.xml><?xml version="1.0" encoding="utf-8"?>
<cs:colorStyle xmlns:cs="http://schemas.microsoft.com/office/drawing/2012/chartStyle" xmlns:a="http://schemas.openxmlformats.org/drawingml/2006/main" meth="withinLinearReversed" id="25">
  <a:schemeClr val="accent5"/>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7" Type="http://schemas.openxmlformats.org/officeDocument/2006/relationships/chart" Target="../charts/chart5.xml"/><Relationship Id="rId2" Type="http://schemas.openxmlformats.org/officeDocument/2006/relationships/image" Target="cid:image003.png@01D54917.0C624560" TargetMode="External"/><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22413</xdr:colOff>
      <xdr:row>0</xdr:row>
      <xdr:rowOff>22412</xdr:rowOff>
    </xdr:from>
    <xdr:to>
      <xdr:col>37</xdr:col>
      <xdr:colOff>14941</xdr:colOff>
      <xdr:row>3</xdr:row>
      <xdr:rowOff>22412</xdr:rowOff>
    </xdr:to>
    <xdr:sp macro="" textlink="">
      <xdr:nvSpPr>
        <xdr:cNvPr id="5" name="Rectangle 4">
          <a:extLst>
            <a:ext uri="{FF2B5EF4-FFF2-40B4-BE49-F238E27FC236}">
              <a16:creationId xmlns:a16="http://schemas.microsoft.com/office/drawing/2014/main" id="{0FF21DA0-0DFC-D5F0-D186-A41CE0DD4B2B}"/>
            </a:ext>
          </a:extLst>
        </xdr:cNvPr>
        <xdr:cNvSpPr/>
      </xdr:nvSpPr>
      <xdr:spPr>
        <a:xfrm>
          <a:off x="22413" y="22412"/>
          <a:ext cx="22658293" cy="537882"/>
        </a:xfrm>
        <a:prstGeom prst="rect">
          <a:avLst/>
        </a:prstGeom>
        <a:solidFill>
          <a:schemeClr val="bg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ZA" sz="2800" b="1" u="sng">
              <a:solidFill>
                <a:schemeClr val="tx1"/>
              </a:solidFill>
            </a:rPr>
            <a:t>Sales</a:t>
          </a:r>
          <a:r>
            <a:rPr lang="en-ZA" sz="2800" b="1" u="sng" baseline="0">
              <a:solidFill>
                <a:schemeClr val="tx1"/>
              </a:solidFill>
            </a:rPr>
            <a:t> Analysis Dashboard</a:t>
          </a:r>
          <a:endParaRPr lang="en-ZA" sz="2800" b="1" u="sng">
            <a:solidFill>
              <a:schemeClr val="tx1"/>
            </a:solidFill>
          </a:endParaRPr>
        </a:p>
      </xdr:txBody>
    </xdr:sp>
    <xdr:clientData/>
  </xdr:twoCellAnchor>
  <xdr:twoCellAnchor>
    <xdr:from>
      <xdr:col>0</xdr:col>
      <xdr:colOff>28756</xdr:colOff>
      <xdr:row>3</xdr:row>
      <xdr:rowOff>28756</xdr:rowOff>
    </xdr:from>
    <xdr:to>
      <xdr:col>9</xdr:col>
      <xdr:colOff>0</xdr:colOff>
      <xdr:row>6</xdr:row>
      <xdr:rowOff>1</xdr:rowOff>
    </xdr:to>
    <xdr:sp macro="" textlink="">
      <xdr:nvSpPr>
        <xdr:cNvPr id="7" name="Rectangle 6">
          <a:extLst>
            <a:ext uri="{FF2B5EF4-FFF2-40B4-BE49-F238E27FC236}">
              <a16:creationId xmlns:a16="http://schemas.microsoft.com/office/drawing/2014/main" id="{35143D65-FE58-4E95-8D86-8EE96EDFF59C}"/>
            </a:ext>
          </a:extLst>
        </xdr:cNvPr>
        <xdr:cNvSpPr/>
      </xdr:nvSpPr>
      <xdr:spPr>
        <a:xfrm>
          <a:off x="28756" y="556294"/>
          <a:ext cx="5510398" cy="498784"/>
        </a:xfrm>
        <a:prstGeom prst="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ZA" sz="2800" b="1" u="sng">
              <a:solidFill>
                <a:schemeClr val="tx1"/>
              </a:solidFill>
            </a:rPr>
            <a:t>Sales</a:t>
          </a:r>
          <a:r>
            <a:rPr lang="en-ZA" sz="2800" b="1" u="sng" baseline="0">
              <a:solidFill>
                <a:schemeClr val="tx1"/>
              </a:solidFill>
            </a:rPr>
            <a:t> by Region</a:t>
          </a:r>
          <a:endParaRPr lang="en-ZA" sz="2800" b="1" u="sng">
            <a:solidFill>
              <a:schemeClr val="tx1"/>
            </a:solidFill>
          </a:endParaRPr>
        </a:p>
      </xdr:txBody>
    </xdr:sp>
    <xdr:clientData/>
  </xdr:twoCellAnchor>
  <xdr:twoCellAnchor>
    <xdr:from>
      <xdr:col>10</xdr:col>
      <xdr:colOff>23671</xdr:colOff>
      <xdr:row>3</xdr:row>
      <xdr:rowOff>34728</xdr:rowOff>
    </xdr:from>
    <xdr:to>
      <xdr:col>19</xdr:col>
      <xdr:colOff>54709</xdr:colOff>
      <xdr:row>6</xdr:row>
      <xdr:rowOff>5310</xdr:rowOff>
    </xdr:to>
    <xdr:sp macro="" textlink="">
      <xdr:nvSpPr>
        <xdr:cNvPr id="8" name="Rectangle 7">
          <a:extLst>
            <a:ext uri="{FF2B5EF4-FFF2-40B4-BE49-F238E27FC236}">
              <a16:creationId xmlns:a16="http://schemas.microsoft.com/office/drawing/2014/main" id="{60037485-079D-4A5C-82A7-D4BF5B8A0C7D}"/>
            </a:ext>
          </a:extLst>
        </xdr:cNvPr>
        <xdr:cNvSpPr/>
      </xdr:nvSpPr>
      <xdr:spPr>
        <a:xfrm>
          <a:off x="6119671" y="597436"/>
          <a:ext cx="5517438" cy="533289"/>
        </a:xfrm>
        <a:prstGeom prst="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ZA" sz="2800" b="1" u="sng">
              <a:solidFill>
                <a:schemeClr val="tx1"/>
              </a:solidFill>
            </a:rPr>
            <a:t>Monthly Revenue</a:t>
          </a:r>
        </a:p>
      </xdr:txBody>
    </xdr:sp>
    <xdr:clientData/>
  </xdr:twoCellAnchor>
  <xdr:twoCellAnchor>
    <xdr:from>
      <xdr:col>19</xdr:col>
      <xdr:colOff>580476</xdr:colOff>
      <xdr:row>3</xdr:row>
      <xdr:rowOff>21845</xdr:rowOff>
    </xdr:from>
    <xdr:to>
      <xdr:col>28</xdr:col>
      <xdr:colOff>609599</xdr:colOff>
      <xdr:row>6</xdr:row>
      <xdr:rowOff>11724</xdr:rowOff>
    </xdr:to>
    <xdr:sp macro="" textlink="">
      <xdr:nvSpPr>
        <xdr:cNvPr id="9" name="Rectangle 8">
          <a:extLst>
            <a:ext uri="{FF2B5EF4-FFF2-40B4-BE49-F238E27FC236}">
              <a16:creationId xmlns:a16="http://schemas.microsoft.com/office/drawing/2014/main" id="{6432CAAF-B4E2-4248-8AC4-AA6CCF71644B}"/>
            </a:ext>
          </a:extLst>
        </xdr:cNvPr>
        <xdr:cNvSpPr/>
      </xdr:nvSpPr>
      <xdr:spPr>
        <a:xfrm>
          <a:off x="12162876" y="584553"/>
          <a:ext cx="5515523" cy="552586"/>
        </a:xfrm>
        <a:prstGeom prst="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ZA" sz="2800" b="1" u="sng">
              <a:solidFill>
                <a:schemeClr val="tx1"/>
              </a:solidFill>
            </a:rPr>
            <a:t>Product</a:t>
          </a:r>
          <a:r>
            <a:rPr lang="en-ZA" sz="2800" b="1" u="sng" baseline="0">
              <a:solidFill>
                <a:schemeClr val="tx1"/>
              </a:solidFill>
            </a:rPr>
            <a:t> Category Distribution</a:t>
          </a:r>
          <a:endParaRPr lang="en-ZA" sz="2800" b="1" u="sng">
            <a:solidFill>
              <a:schemeClr val="tx1"/>
            </a:solidFill>
          </a:endParaRPr>
        </a:p>
      </xdr:txBody>
    </xdr:sp>
    <xdr:clientData/>
  </xdr:twoCellAnchor>
  <xdr:twoCellAnchor editAs="oneCell">
    <xdr:from>
      <xdr:col>0</xdr:col>
      <xdr:colOff>350520</xdr:colOff>
      <xdr:row>0</xdr:row>
      <xdr:rowOff>30480</xdr:rowOff>
    </xdr:from>
    <xdr:to>
      <xdr:col>3</xdr:col>
      <xdr:colOff>388620</xdr:colOff>
      <xdr:row>3</xdr:row>
      <xdr:rowOff>3224</xdr:rowOff>
    </xdr:to>
    <xdr:pic>
      <xdr:nvPicPr>
        <xdr:cNvPr id="13" name="Picture 12">
          <a:extLst>
            <a:ext uri="{FF2B5EF4-FFF2-40B4-BE49-F238E27FC236}">
              <a16:creationId xmlns:a16="http://schemas.microsoft.com/office/drawing/2014/main" id="{6DE4EE44-2882-ECBC-7530-F9652EE7C7B3}"/>
            </a:ext>
          </a:extLst>
        </xdr:cNvPr>
        <xdr:cNvPicPr>
          <a:picLocks noChangeAspect="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350520" y="30480"/>
          <a:ext cx="1891614" cy="519293"/>
        </a:xfrm>
        <a:prstGeom prst="rect">
          <a:avLst/>
        </a:prstGeom>
        <a:noFill/>
        <a:ln>
          <a:noFill/>
        </a:ln>
      </xdr:spPr>
    </xdr:pic>
    <xdr:clientData/>
  </xdr:twoCellAnchor>
  <xdr:twoCellAnchor>
    <xdr:from>
      <xdr:col>0</xdr:col>
      <xdr:colOff>0</xdr:colOff>
      <xdr:row>6</xdr:row>
      <xdr:rowOff>20946</xdr:rowOff>
    </xdr:from>
    <xdr:to>
      <xdr:col>9</xdr:col>
      <xdr:colOff>0</xdr:colOff>
      <xdr:row>23</xdr:row>
      <xdr:rowOff>29307</xdr:rowOff>
    </xdr:to>
    <xdr:graphicFrame macro="">
      <xdr:nvGraphicFramePr>
        <xdr:cNvPr id="14" name="Sales by Region">
          <a:extLst>
            <a:ext uri="{FF2B5EF4-FFF2-40B4-BE49-F238E27FC236}">
              <a16:creationId xmlns:a16="http://schemas.microsoft.com/office/drawing/2014/main" id="{BB8722BD-C5CD-E2D4-A5A9-C986F5F675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20067</xdr:colOff>
      <xdr:row>6</xdr:row>
      <xdr:rowOff>26399</xdr:rowOff>
    </xdr:from>
    <xdr:to>
      <xdr:col>19</xdr:col>
      <xdr:colOff>35442</xdr:colOff>
      <xdr:row>22</xdr:row>
      <xdr:rowOff>159488</xdr:rowOff>
    </xdr:to>
    <xdr:graphicFrame macro="">
      <xdr:nvGraphicFramePr>
        <xdr:cNvPr id="15" name="Monthly Revenue">
          <a:extLst>
            <a:ext uri="{FF2B5EF4-FFF2-40B4-BE49-F238E27FC236}">
              <a16:creationId xmlns:a16="http://schemas.microsoft.com/office/drawing/2014/main" id="{D2122FCB-C8E4-1772-4633-F57E70114C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29</xdr:col>
      <xdr:colOff>605780</xdr:colOff>
      <xdr:row>11</xdr:row>
      <xdr:rowOff>36129</xdr:rowOff>
    </xdr:from>
    <xdr:to>
      <xdr:col>37</xdr:col>
      <xdr:colOff>35034</xdr:colOff>
      <xdr:row>16</xdr:row>
      <xdr:rowOff>32403</xdr:rowOff>
    </xdr:to>
    <mc:AlternateContent xmlns:mc="http://schemas.openxmlformats.org/markup-compatibility/2006" xmlns:a14="http://schemas.microsoft.com/office/drawing/2010/main">
      <mc:Choice Requires="a14">
        <xdr:graphicFrame macro="">
          <xdr:nvGraphicFramePr>
            <xdr:cNvPr id="17" name="category">
              <a:extLst>
                <a:ext uri="{FF2B5EF4-FFF2-40B4-BE49-F238E27FC236}">
                  <a16:creationId xmlns:a16="http://schemas.microsoft.com/office/drawing/2014/main" id="{CE139141-239D-A45A-08DF-E3E485C7CB1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8131780" y="2059370"/>
              <a:ext cx="4264013" cy="91593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609996</xdr:colOff>
      <xdr:row>16</xdr:row>
      <xdr:rowOff>41615</xdr:rowOff>
    </xdr:from>
    <xdr:to>
      <xdr:col>37</xdr:col>
      <xdr:colOff>35034</xdr:colOff>
      <xdr:row>21</xdr:row>
      <xdr:rowOff>37888</xdr:rowOff>
    </xdr:to>
    <mc:AlternateContent xmlns:mc="http://schemas.openxmlformats.org/markup-compatibility/2006" xmlns:a14="http://schemas.microsoft.com/office/drawing/2010/main">
      <mc:Choice Requires="a14">
        <xdr:graphicFrame macro="">
          <xdr:nvGraphicFramePr>
            <xdr:cNvPr id="18" name="region">
              <a:extLst>
                <a:ext uri="{FF2B5EF4-FFF2-40B4-BE49-F238E27FC236}">
                  <a16:creationId xmlns:a16="http://schemas.microsoft.com/office/drawing/2014/main" id="{7080A43D-BE88-E7D7-3C49-21FAB330A63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8135996" y="2984512"/>
              <a:ext cx="4259797" cy="915928"/>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605806</xdr:colOff>
      <xdr:row>21</xdr:row>
      <xdr:rowOff>48966</xdr:rowOff>
    </xdr:from>
    <xdr:to>
      <xdr:col>37</xdr:col>
      <xdr:colOff>35033</xdr:colOff>
      <xdr:row>26</xdr:row>
      <xdr:rowOff>46596</xdr:rowOff>
    </xdr:to>
    <mc:AlternateContent xmlns:mc="http://schemas.openxmlformats.org/markup-compatibility/2006" xmlns:a14="http://schemas.microsoft.com/office/drawing/2010/main">
      <mc:Choice Requires="a14">
        <xdr:graphicFrame macro="">
          <xdr:nvGraphicFramePr>
            <xdr:cNvPr id="19" name="salesperson">
              <a:extLst>
                <a:ext uri="{FF2B5EF4-FFF2-40B4-BE49-F238E27FC236}">
                  <a16:creationId xmlns:a16="http://schemas.microsoft.com/office/drawing/2014/main" id="{27F4B1E2-B87B-0BAC-D8FA-544DBABD133B}"/>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18131806" y="3911518"/>
              <a:ext cx="4263986" cy="91728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606206</xdr:colOff>
      <xdr:row>6</xdr:row>
      <xdr:rowOff>21511</xdr:rowOff>
    </xdr:from>
    <xdr:to>
      <xdr:col>37</xdr:col>
      <xdr:colOff>17517</xdr:colOff>
      <xdr:row>11</xdr:row>
      <xdr:rowOff>17784</xdr:rowOff>
    </xdr:to>
    <mc:AlternateContent xmlns:mc="http://schemas.openxmlformats.org/markup-compatibility/2006" xmlns:tsle="http://schemas.microsoft.com/office/drawing/2012/timeslicer">
      <mc:Choice Requires="tsle">
        <xdr:graphicFrame macro="">
          <xdr:nvGraphicFramePr>
            <xdr:cNvPr id="22" name="month">
              <a:extLst>
                <a:ext uri="{FF2B5EF4-FFF2-40B4-BE49-F238E27FC236}">
                  <a16:creationId xmlns:a16="http://schemas.microsoft.com/office/drawing/2014/main" id="{5ACBCBBD-9EBB-4693-821C-A458E5FEA729}"/>
                </a:ext>
              </a:extLst>
            </xdr:cNvPr>
            <xdr:cNvGraphicFramePr/>
          </xdr:nvGraphicFramePr>
          <xdr:xfrm>
            <a:off x="0" y="0"/>
            <a:ext cx="0" cy="0"/>
          </xdr:xfrm>
          <a:graphic>
            <a:graphicData uri="http://schemas.microsoft.com/office/drawing/2012/timeslicer">
              <tsle:timeslicer name="month"/>
            </a:graphicData>
          </a:graphic>
        </xdr:graphicFrame>
      </mc:Choice>
      <mc:Fallback xmlns="">
        <xdr:sp macro="" textlink="">
          <xdr:nvSpPr>
            <xdr:cNvPr id="0" name=""/>
            <xdr:cNvSpPr>
              <a:spLocks noTextEdit="1"/>
            </xdr:cNvSpPr>
          </xdr:nvSpPr>
          <xdr:spPr>
            <a:xfrm>
              <a:off x="18132206" y="1125097"/>
              <a:ext cx="4246070" cy="915928"/>
            </a:xfrm>
            <a:prstGeom prst="rect">
              <a:avLst/>
            </a:prstGeom>
            <a:solidFill>
              <a:prstClr val="white"/>
            </a:solidFill>
            <a:ln w="1">
              <a:solidFill>
                <a:prstClr val="green"/>
              </a:solidFill>
            </a:ln>
          </xdr:spPr>
          <xdr:txBody>
            <a:bodyPr vertOverflow="clip" horzOverflow="clip"/>
            <a:lstStyle/>
            <a:p>
              <a:r>
                <a:rPr lang="en-ZA" sz="1100"/>
                <a:t>Timeline: Works in Excel 2013 or higher. Do not move or resize.</a:t>
              </a:r>
            </a:p>
          </xdr:txBody>
        </xdr:sp>
      </mc:Fallback>
    </mc:AlternateContent>
    <xdr:clientData/>
  </xdr:twoCellAnchor>
  <xdr:twoCellAnchor>
    <xdr:from>
      <xdr:col>0</xdr:col>
      <xdr:colOff>0</xdr:colOff>
      <xdr:row>27</xdr:row>
      <xdr:rowOff>153712</xdr:rowOff>
    </xdr:from>
    <xdr:to>
      <xdr:col>13</xdr:col>
      <xdr:colOff>600808</xdr:colOff>
      <xdr:row>47</xdr:row>
      <xdr:rowOff>152078</xdr:rowOff>
    </xdr:to>
    <xdr:graphicFrame macro="">
      <xdr:nvGraphicFramePr>
        <xdr:cNvPr id="23" name="Product Performance by Month">
          <a:extLst>
            <a:ext uri="{FF2B5EF4-FFF2-40B4-BE49-F238E27FC236}">
              <a16:creationId xmlns:a16="http://schemas.microsoft.com/office/drawing/2014/main" id="{D194C8EF-51B0-3DE0-FF6A-48F3B7E2F9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34615</xdr:colOff>
      <xdr:row>25</xdr:row>
      <xdr:rowOff>10850</xdr:rowOff>
    </xdr:from>
    <xdr:to>
      <xdr:col>13</xdr:col>
      <xdr:colOff>607840</xdr:colOff>
      <xdr:row>27</xdr:row>
      <xdr:rowOff>158988</xdr:rowOff>
    </xdr:to>
    <xdr:sp macro="" textlink="">
      <xdr:nvSpPr>
        <xdr:cNvPr id="25" name="Rectangle 24">
          <a:extLst>
            <a:ext uri="{FF2B5EF4-FFF2-40B4-BE49-F238E27FC236}">
              <a16:creationId xmlns:a16="http://schemas.microsoft.com/office/drawing/2014/main" id="{7EFA148C-0BF1-41A3-AACF-666674830B39}"/>
            </a:ext>
          </a:extLst>
        </xdr:cNvPr>
        <xdr:cNvSpPr/>
      </xdr:nvSpPr>
      <xdr:spPr>
        <a:xfrm>
          <a:off x="34615" y="4582850"/>
          <a:ext cx="8498025" cy="513898"/>
        </a:xfrm>
        <a:prstGeom prst="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ZA" sz="2800" b="1" u="sng">
              <a:solidFill>
                <a:schemeClr val="tx1"/>
              </a:solidFill>
            </a:rPr>
            <a:t>Top Products of the Month</a:t>
          </a:r>
        </a:p>
      </xdr:txBody>
    </xdr:sp>
    <xdr:clientData/>
  </xdr:twoCellAnchor>
  <xdr:twoCellAnchor editAs="oneCell">
    <xdr:from>
      <xdr:col>29</xdr:col>
      <xdr:colOff>608297</xdr:colOff>
      <xdr:row>26</xdr:row>
      <xdr:rowOff>61045</xdr:rowOff>
    </xdr:from>
    <xdr:to>
      <xdr:col>37</xdr:col>
      <xdr:colOff>35034</xdr:colOff>
      <xdr:row>31</xdr:row>
      <xdr:rowOff>57318</xdr:rowOff>
    </xdr:to>
    <mc:AlternateContent xmlns:mc="http://schemas.openxmlformats.org/markup-compatibility/2006" xmlns:a14="http://schemas.microsoft.com/office/drawing/2010/main">
      <mc:Choice Requires="a14">
        <xdr:graphicFrame macro="">
          <xdr:nvGraphicFramePr>
            <xdr:cNvPr id="27" name="product">
              <a:extLst>
                <a:ext uri="{FF2B5EF4-FFF2-40B4-BE49-F238E27FC236}">
                  <a16:creationId xmlns:a16="http://schemas.microsoft.com/office/drawing/2014/main" id="{B75EB513-CF99-3882-D2F1-55E02D991CB7}"/>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8134297" y="4843252"/>
              <a:ext cx="4261496" cy="915928"/>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29</xdr:col>
      <xdr:colOff>613076</xdr:colOff>
      <xdr:row>3</xdr:row>
      <xdr:rowOff>38069</xdr:rowOff>
    </xdr:from>
    <xdr:to>
      <xdr:col>37</xdr:col>
      <xdr:colOff>17517</xdr:colOff>
      <xdr:row>6</xdr:row>
      <xdr:rowOff>8760</xdr:rowOff>
    </xdr:to>
    <xdr:sp macro="" textlink="">
      <xdr:nvSpPr>
        <xdr:cNvPr id="2" name="Rectangle 1">
          <a:extLst>
            <a:ext uri="{FF2B5EF4-FFF2-40B4-BE49-F238E27FC236}">
              <a16:creationId xmlns:a16="http://schemas.microsoft.com/office/drawing/2014/main" id="{EDF370E7-A90F-4DAE-B746-ADE9B571236B}"/>
            </a:ext>
          </a:extLst>
        </xdr:cNvPr>
        <xdr:cNvSpPr/>
      </xdr:nvSpPr>
      <xdr:spPr>
        <a:xfrm>
          <a:off x="18393076" y="589862"/>
          <a:ext cx="4309269" cy="522484"/>
        </a:xfrm>
        <a:prstGeom prst="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ZA" sz="2800" b="1" u="sng">
              <a:solidFill>
                <a:schemeClr val="tx1"/>
              </a:solidFill>
            </a:rPr>
            <a:t>FILTER BY:</a:t>
          </a:r>
        </a:p>
      </xdr:txBody>
    </xdr:sp>
    <xdr:clientData/>
  </xdr:twoCellAnchor>
  <xdr:twoCellAnchor>
    <xdr:from>
      <xdr:col>15</xdr:col>
      <xdr:colOff>611</xdr:colOff>
      <xdr:row>27</xdr:row>
      <xdr:rowOff>162275</xdr:rowOff>
    </xdr:from>
    <xdr:to>
      <xdr:col>29</xdr:col>
      <xdr:colOff>14111</xdr:colOff>
      <xdr:row>47</xdr:row>
      <xdr:rowOff>172720</xdr:rowOff>
    </xdr:to>
    <xdr:graphicFrame macro="">
      <xdr:nvGraphicFramePr>
        <xdr:cNvPr id="3" name="Salesperson Performance">
          <a:extLst>
            <a:ext uri="{FF2B5EF4-FFF2-40B4-BE49-F238E27FC236}">
              <a16:creationId xmlns:a16="http://schemas.microsoft.com/office/drawing/2014/main" id="{EDF2A508-BB3F-ED16-A1C6-8BC33428BF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4134</xdr:colOff>
      <xdr:row>25</xdr:row>
      <xdr:rowOff>13874</xdr:rowOff>
    </xdr:from>
    <xdr:to>
      <xdr:col>29</xdr:col>
      <xdr:colOff>10160</xdr:colOff>
      <xdr:row>27</xdr:row>
      <xdr:rowOff>162012</xdr:rowOff>
    </xdr:to>
    <xdr:sp macro="" textlink="">
      <xdr:nvSpPr>
        <xdr:cNvPr id="4" name="Rectangle 3">
          <a:extLst>
            <a:ext uri="{FF2B5EF4-FFF2-40B4-BE49-F238E27FC236}">
              <a16:creationId xmlns:a16="http://schemas.microsoft.com/office/drawing/2014/main" id="{432E2B82-85BF-416B-8F6C-AD36C21472F1}"/>
            </a:ext>
          </a:extLst>
        </xdr:cNvPr>
        <xdr:cNvSpPr/>
      </xdr:nvSpPr>
      <xdr:spPr>
        <a:xfrm>
          <a:off x="9148134" y="4585874"/>
          <a:ext cx="8540426" cy="513898"/>
        </a:xfrm>
        <a:prstGeom prst="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ZA" sz="2800" b="1" u="sng">
              <a:solidFill>
                <a:schemeClr val="tx1"/>
              </a:solidFill>
            </a:rPr>
            <a:t>Salesperson Performance</a:t>
          </a:r>
        </a:p>
      </xdr:txBody>
    </xdr:sp>
    <xdr:clientData/>
  </xdr:twoCellAnchor>
  <xdr:twoCellAnchor>
    <xdr:from>
      <xdr:col>30</xdr:col>
      <xdr:colOff>7903</xdr:colOff>
      <xdr:row>33</xdr:row>
      <xdr:rowOff>17152</xdr:rowOff>
    </xdr:from>
    <xdr:to>
      <xdr:col>37</xdr:col>
      <xdr:colOff>0</xdr:colOff>
      <xdr:row>37</xdr:row>
      <xdr:rowOff>170330</xdr:rowOff>
    </xdr:to>
    <xdr:sp macro="" textlink="Pivot_Tables!F4">
      <xdr:nvSpPr>
        <xdr:cNvPr id="21" name="Rectangle 20">
          <a:extLst>
            <a:ext uri="{FF2B5EF4-FFF2-40B4-BE49-F238E27FC236}">
              <a16:creationId xmlns:a16="http://schemas.microsoft.com/office/drawing/2014/main" id="{814B24ED-8E5A-6ED0-D234-BE30BA85FF30}"/>
            </a:ext>
          </a:extLst>
        </xdr:cNvPr>
        <xdr:cNvSpPr/>
      </xdr:nvSpPr>
      <xdr:spPr>
        <a:xfrm>
          <a:off x="18295903" y="5933858"/>
          <a:ext cx="4259297" cy="870354"/>
        </a:xfrm>
        <a:prstGeom prst="rect">
          <a:avLst/>
        </a:prstGeom>
        <a:solidFill>
          <a:schemeClr val="bg1">
            <a:lumMod val="85000"/>
          </a:schemeClr>
        </a:solidFill>
        <a:ln>
          <a:solidFill>
            <a:schemeClr val="accent5">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i="0" u="none" strike="noStrike">
              <a:solidFill>
                <a:sysClr val="windowText" lastClr="000000"/>
              </a:solidFill>
              <a:latin typeface="Calibri"/>
              <a:ea typeface="Calibri"/>
              <a:cs typeface="Calibri"/>
            </a:rPr>
            <a:t>Total</a:t>
          </a:r>
          <a:r>
            <a:rPr lang="en-US" sz="2000" b="1" i="0" u="none" strike="noStrike" baseline="0">
              <a:solidFill>
                <a:sysClr val="windowText" lastClr="000000"/>
              </a:solidFill>
              <a:latin typeface="Calibri"/>
              <a:ea typeface="Calibri"/>
              <a:cs typeface="Calibri"/>
            </a:rPr>
            <a:t> Revenue</a:t>
          </a:r>
        </a:p>
        <a:p>
          <a:pPr algn="ctr"/>
          <a:fld id="{1487D781-EC85-44F9-BD03-BF5F1C979E13}" type="TxLink">
            <a:rPr lang="en-US" sz="2000" b="1" i="0" u="none" strike="noStrike">
              <a:solidFill>
                <a:sysClr val="windowText" lastClr="000000"/>
              </a:solidFill>
              <a:latin typeface="Calibri"/>
              <a:ea typeface="Calibri"/>
              <a:cs typeface="Calibri"/>
            </a:rPr>
            <a:pPr algn="ctr"/>
            <a:t>R903 500</a:t>
          </a:fld>
          <a:endParaRPr lang="en-ZA" sz="2000" b="1">
            <a:solidFill>
              <a:sysClr val="windowText" lastClr="000000"/>
            </a:solidFill>
          </a:endParaRPr>
        </a:p>
      </xdr:txBody>
    </xdr:sp>
    <xdr:clientData/>
  </xdr:twoCellAnchor>
  <xdr:twoCellAnchor>
    <xdr:from>
      <xdr:col>30</xdr:col>
      <xdr:colOff>3267</xdr:colOff>
      <xdr:row>38</xdr:row>
      <xdr:rowOff>12070</xdr:rowOff>
    </xdr:from>
    <xdr:to>
      <xdr:col>37</xdr:col>
      <xdr:colOff>8965</xdr:colOff>
      <xdr:row>42</xdr:row>
      <xdr:rowOff>170329</xdr:rowOff>
    </xdr:to>
    <xdr:sp macro="" textlink="Pivot_Tables!F7">
      <xdr:nvSpPr>
        <xdr:cNvPr id="24" name="Rectangle 23">
          <a:extLst>
            <a:ext uri="{FF2B5EF4-FFF2-40B4-BE49-F238E27FC236}">
              <a16:creationId xmlns:a16="http://schemas.microsoft.com/office/drawing/2014/main" id="{F0CD2E6D-C1F9-48F7-B1F6-04B40FA69F9F}"/>
            </a:ext>
          </a:extLst>
        </xdr:cNvPr>
        <xdr:cNvSpPr/>
      </xdr:nvSpPr>
      <xdr:spPr>
        <a:xfrm>
          <a:off x="18291267" y="6825246"/>
          <a:ext cx="4272898" cy="875436"/>
        </a:xfrm>
        <a:prstGeom prst="rect">
          <a:avLst/>
        </a:prstGeom>
        <a:solidFill>
          <a:schemeClr val="bg1">
            <a:lumMod val="85000"/>
          </a:schemeClr>
        </a:solidFill>
        <a:ln>
          <a:solidFill>
            <a:schemeClr val="accent5">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i="0" u="none" strike="noStrike">
              <a:solidFill>
                <a:schemeClr val="tx1"/>
              </a:solidFill>
              <a:latin typeface="Calibri"/>
              <a:ea typeface="Calibri"/>
              <a:cs typeface="Calibri"/>
            </a:rPr>
            <a:t>Total Quantity</a:t>
          </a:r>
        </a:p>
        <a:p>
          <a:pPr algn="ctr"/>
          <a:fld id="{A2CC588B-4206-4FEE-94FC-AA5B2B8DB377}" type="TxLink">
            <a:rPr lang="en-US" sz="2000" b="1" i="0" u="none" strike="noStrike">
              <a:solidFill>
                <a:schemeClr val="tx1"/>
              </a:solidFill>
              <a:latin typeface="Calibri"/>
              <a:ea typeface="Calibri"/>
              <a:cs typeface="Calibri"/>
            </a:rPr>
            <a:pPr algn="ctr"/>
            <a:t>159</a:t>
          </a:fld>
          <a:endParaRPr lang="en-ZA" sz="2000" b="1">
            <a:solidFill>
              <a:schemeClr val="tx1"/>
            </a:solidFill>
          </a:endParaRPr>
        </a:p>
      </xdr:txBody>
    </xdr:sp>
    <xdr:clientData/>
  </xdr:twoCellAnchor>
  <xdr:twoCellAnchor>
    <xdr:from>
      <xdr:col>30</xdr:col>
      <xdr:colOff>13133</xdr:colOff>
      <xdr:row>43</xdr:row>
      <xdr:rowOff>17771</xdr:rowOff>
    </xdr:from>
    <xdr:to>
      <xdr:col>37</xdr:col>
      <xdr:colOff>8964</xdr:colOff>
      <xdr:row>47</xdr:row>
      <xdr:rowOff>170329</xdr:rowOff>
    </xdr:to>
    <xdr:sp macro="" textlink="Pivot_Tables!F13">
      <xdr:nvSpPr>
        <xdr:cNvPr id="28" name="Rectangle 27">
          <a:extLst>
            <a:ext uri="{FF2B5EF4-FFF2-40B4-BE49-F238E27FC236}">
              <a16:creationId xmlns:a16="http://schemas.microsoft.com/office/drawing/2014/main" id="{9BA0F6C1-E535-46A5-BCF3-7EF50A1833D5}"/>
            </a:ext>
          </a:extLst>
        </xdr:cNvPr>
        <xdr:cNvSpPr/>
      </xdr:nvSpPr>
      <xdr:spPr>
        <a:xfrm>
          <a:off x="18301133" y="7727418"/>
          <a:ext cx="4263031" cy="869735"/>
        </a:xfrm>
        <a:prstGeom prst="rect">
          <a:avLst/>
        </a:prstGeom>
        <a:solidFill>
          <a:schemeClr val="bg1">
            <a:lumMod val="85000"/>
          </a:schemeClr>
        </a:solidFill>
        <a:ln>
          <a:solidFill>
            <a:schemeClr val="accent5">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i="0" u="none" strike="noStrike">
              <a:solidFill>
                <a:schemeClr val="tx1"/>
              </a:solidFill>
              <a:latin typeface="Calibri"/>
              <a:ea typeface="Calibri"/>
              <a:cs typeface="Calibri"/>
            </a:rPr>
            <a:t>Top Product</a:t>
          </a:r>
        </a:p>
        <a:p>
          <a:pPr algn="ctr"/>
          <a:fld id="{7F136A86-B18F-4AAA-95D5-73628CBD541F}" type="TxLink">
            <a:rPr lang="en-US" sz="2000" b="1" i="0" u="none" strike="noStrike">
              <a:solidFill>
                <a:schemeClr val="tx1"/>
              </a:solidFill>
              <a:latin typeface="Calibri"/>
              <a:ea typeface="Calibri"/>
              <a:cs typeface="Calibri"/>
            </a:rPr>
            <a:pPr algn="ctr"/>
            <a:t>Phone</a:t>
          </a:fld>
          <a:endParaRPr lang="en-ZA" sz="2000" b="1">
            <a:solidFill>
              <a:schemeClr val="tx1"/>
            </a:solidFill>
          </a:endParaRPr>
        </a:p>
      </xdr:txBody>
    </xdr:sp>
    <xdr:clientData/>
  </xdr:twoCellAnchor>
  <xdr:twoCellAnchor>
    <xdr:from>
      <xdr:col>19</xdr:col>
      <xdr:colOff>550418</xdr:colOff>
      <xdr:row>6</xdr:row>
      <xdr:rowOff>25756</xdr:rowOff>
    </xdr:from>
    <xdr:to>
      <xdr:col>29</xdr:col>
      <xdr:colOff>0</xdr:colOff>
      <xdr:row>22</xdr:row>
      <xdr:rowOff>157654</xdr:rowOff>
    </xdr:to>
    <xdr:graphicFrame macro="">
      <xdr:nvGraphicFramePr>
        <xdr:cNvPr id="6" name="Product Category Distribution">
          <a:extLst>
            <a:ext uri="{FF2B5EF4-FFF2-40B4-BE49-F238E27FC236}">
              <a16:creationId xmlns:a16="http://schemas.microsoft.com/office/drawing/2014/main" id="{0A9FF537-235D-151A-BB6D-46982A6FA3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ushil Jivan" refreshedDate="46128.626121643516" createdVersion="8" refreshedVersion="8" minRefreshableVersion="3" recordCount="48" xr:uid="{C70CE87C-68AD-4146-904A-96EAAE208809}">
  <cacheSource type="worksheet">
    <worksheetSource name="clean_sales"/>
  </cacheSource>
  <cacheFields count="12">
    <cacheField name="transaction_id" numFmtId="0">
      <sharedItems containsSemiMixedTypes="0" containsString="0" containsNumber="1" containsInteger="1" minValue="1001" maxValue="1050"/>
    </cacheField>
    <cacheField name="date" numFmtId="14">
      <sharedItems containsSemiMixedTypes="0" containsNonDate="0" containsDate="1" containsString="0" minDate="2024-01-05T00:00:00" maxDate="2024-05-01T00:00:00"/>
    </cacheField>
    <cacheField name="product" numFmtId="0">
      <sharedItems count="5">
        <s v="Laptop"/>
        <s v="Phone"/>
        <s v="Tablet"/>
        <s v="Desk"/>
        <s v="Chair"/>
      </sharedItems>
    </cacheField>
    <cacheField name="category" numFmtId="0">
      <sharedItems count="2">
        <s v="Electronics"/>
        <s v="Furniture"/>
      </sharedItems>
    </cacheField>
    <cacheField name="quantity" numFmtId="0">
      <sharedItems containsSemiMixedTypes="0" containsString="0" containsNumber="1" containsInteger="1" minValue="1" maxValue="7"/>
    </cacheField>
    <cacheField name="price" numFmtId="0">
      <sharedItems containsSemiMixedTypes="0" containsString="0" containsNumber="1" containsInteger="1" minValue="1500" maxValue="12000"/>
    </cacheField>
    <cacheField name="region" numFmtId="0">
      <sharedItems count="4">
        <s v="North"/>
        <s v="South"/>
        <s v="East"/>
        <s v="West"/>
      </sharedItems>
    </cacheField>
    <cacheField name="salesperson" numFmtId="0">
      <sharedItems count="5">
        <s v="John"/>
        <s v="Mary"/>
        <s v="David"/>
        <s v="Sarah"/>
        <s v="Unknown"/>
      </sharedItems>
    </cacheField>
    <cacheField name="revenue" numFmtId="0">
      <sharedItems containsSemiMixedTypes="0" containsString="0" containsNumber="1" containsInteger="1" minValue="6000" maxValue="56000"/>
    </cacheField>
    <cacheField name="month" numFmtId="14">
      <sharedItems containsSemiMixedTypes="0" containsNonDate="0" containsDate="1" containsString="0" minDate="2024-01-01T00:00:00" maxDate="2024-04-02T00:00:00" count="4">
        <d v="2024-01-01T00:00:00"/>
        <d v="2024-02-01T00:00:00"/>
        <d v="2024-03-01T00:00:00"/>
        <d v="2024-04-01T00:00:00"/>
      </sharedItems>
      <fieldGroup par="11"/>
    </cacheField>
    <cacheField name="Days (month)" numFmtId="0" databaseField="0">
      <fieldGroup base="9">
        <rangePr groupBy="days" startDate="2024-01-01T00:00:00" endDate="2024-04-02T00:00:00"/>
        <groupItems count="368">
          <s v="&lt;2024/01/0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t"/>
          <s v="02-Sept"/>
          <s v="03-Sept"/>
          <s v="04-Sept"/>
          <s v="05-Sept"/>
          <s v="06-Sept"/>
          <s v="07-Sept"/>
          <s v="08-Sept"/>
          <s v="09-Sept"/>
          <s v="10-Sept"/>
          <s v="11-Sept"/>
          <s v="12-Sept"/>
          <s v="13-Sept"/>
          <s v="14-Sept"/>
          <s v="15-Sept"/>
          <s v="16-Sept"/>
          <s v="17-Sept"/>
          <s v="18-Sept"/>
          <s v="19-Sept"/>
          <s v="20-Sept"/>
          <s v="21-Sept"/>
          <s v="22-Sept"/>
          <s v="23-Sept"/>
          <s v="24-Sept"/>
          <s v="25-Sept"/>
          <s v="26-Sept"/>
          <s v="27-Sept"/>
          <s v="28-Sept"/>
          <s v="29-Sept"/>
          <s v="30-Sept"/>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024/04/02"/>
        </groupItems>
      </fieldGroup>
    </cacheField>
    <cacheField name="Months (month)" numFmtId="0" databaseField="0">
      <fieldGroup base="9">
        <rangePr groupBy="months" startDate="2024-01-01T00:00:00" endDate="2024-04-02T00:00:00"/>
        <groupItems count="14">
          <s v="&lt;2024/01/01"/>
          <s v="Jan"/>
          <s v="Feb"/>
          <s v="Mar"/>
          <s v="Apr"/>
          <s v="May"/>
          <s v="Jun"/>
          <s v="Jul"/>
          <s v="Aug"/>
          <s v="Sept"/>
          <s v="Oct"/>
          <s v="Nov"/>
          <s v="Dec"/>
          <s v="&gt;2024/04/02"/>
        </groupItems>
      </fieldGroup>
    </cacheField>
  </cacheFields>
  <extLst>
    <ext xmlns:x14="http://schemas.microsoft.com/office/spreadsheetml/2009/9/main" uri="{725AE2AE-9491-48be-B2B4-4EB974FC3084}">
      <x14:pivotCacheDefinition pivotCacheId="7553738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
  <r>
    <n v="1001"/>
    <d v="2024-01-05T00:00:00"/>
    <x v="0"/>
    <x v="0"/>
    <n v="2"/>
    <n v="12000"/>
    <x v="0"/>
    <x v="0"/>
    <n v="24000"/>
    <x v="0"/>
  </r>
  <r>
    <n v="1002"/>
    <d v="2024-01-07T00:00:00"/>
    <x v="1"/>
    <x v="0"/>
    <n v="5"/>
    <n v="8000"/>
    <x v="1"/>
    <x v="1"/>
    <n v="40000"/>
    <x v="0"/>
  </r>
  <r>
    <n v="1003"/>
    <d v="2024-01-10T00:00:00"/>
    <x v="2"/>
    <x v="0"/>
    <n v="3"/>
    <n v="6000"/>
    <x v="2"/>
    <x v="2"/>
    <n v="18000"/>
    <x v="0"/>
  </r>
  <r>
    <n v="1005"/>
    <d v="2024-01-20T00:00:00"/>
    <x v="3"/>
    <x v="1"/>
    <n v="2"/>
    <n v="3000"/>
    <x v="0"/>
    <x v="0"/>
    <n v="6000"/>
    <x v="0"/>
  </r>
  <r>
    <n v="1006"/>
    <d v="2024-01-22T00:00:00"/>
    <x v="0"/>
    <x v="0"/>
    <n v="1"/>
    <n v="12000"/>
    <x v="1"/>
    <x v="1"/>
    <n v="12000"/>
    <x v="0"/>
  </r>
  <r>
    <n v="1007"/>
    <d v="2024-01-25T00:00:00"/>
    <x v="1"/>
    <x v="0"/>
    <n v="6"/>
    <n v="8000"/>
    <x v="2"/>
    <x v="2"/>
    <n v="48000"/>
    <x v="0"/>
  </r>
  <r>
    <n v="1008"/>
    <d v="2024-01-28T00:00:00"/>
    <x v="2"/>
    <x v="0"/>
    <n v="2"/>
    <n v="6000"/>
    <x v="3"/>
    <x v="3"/>
    <n v="12000"/>
    <x v="0"/>
  </r>
  <r>
    <n v="1009"/>
    <d v="2024-02-01T00:00:00"/>
    <x v="4"/>
    <x v="1"/>
    <n v="5"/>
    <n v="1500"/>
    <x v="0"/>
    <x v="0"/>
    <n v="7500"/>
    <x v="1"/>
  </r>
  <r>
    <n v="1010"/>
    <d v="2024-02-03T00:00:00"/>
    <x v="3"/>
    <x v="1"/>
    <n v="3"/>
    <n v="3000"/>
    <x v="1"/>
    <x v="4"/>
    <n v="9000"/>
    <x v="1"/>
  </r>
  <r>
    <n v="1011"/>
    <d v="2024-02-05T00:00:00"/>
    <x v="0"/>
    <x v="0"/>
    <n v="2"/>
    <n v="12000"/>
    <x v="2"/>
    <x v="2"/>
    <n v="24000"/>
    <x v="1"/>
  </r>
  <r>
    <n v="1012"/>
    <d v="2024-02-07T00:00:00"/>
    <x v="1"/>
    <x v="0"/>
    <n v="4"/>
    <n v="8000"/>
    <x v="3"/>
    <x v="3"/>
    <n v="32000"/>
    <x v="1"/>
  </r>
  <r>
    <n v="1013"/>
    <d v="2024-02-10T00:00:00"/>
    <x v="2"/>
    <x v="0"/>
    <n v="3"/>
    <n v="6000"/>
    <x v="0"/>
    <x v="0"/>
    <n v="18000"/>
    <x v="1"/>
  </r>
  <r>
    <n v="1014"/>
    <d v="2024-02-12T00:00:00"/>
    <x v="4"/>
    <x v="1"/>
    <n v="6"/>
    <n v="1500"/>
    <x v="1"/>
    <x v="1"/>
    <n v="9000"/>
    <x v="1"/>
  </r>
  <r>
    <n v="1015"/>
    <d v="2024-02-15T00:00:00"/>
    <x v="3"/>
    <x v="1"/>
    <n v="2"/>
    <n v="3000"/>
    <x v="2"/>
    <x v="2"/>
    <n v="6000"/>
    <x v="1"/>
  </r>
  <r>
    <n v="1016"/>
    <d v="2024-02-18T00:00:00"/>
    <x v="0"/>
    <x v="0"/>
    <n v="1"/>
    <n v="12000"/>
    <x v="3"/>
    <x v="3"/>
    <n v="12000"/>
    <x v="1"/>
  </r>
  <r>
    <n v="1017"/>
    <d v="2024-02-20T00:00:00"/>
    <x v="1"/>
    <x v="0"/>
    <n v="7"/>
    <n v="8000"/>
    <x v="0"/>
    <x v="0"/>
    <n v="56000"/>
    <x v="1"/>
  </r>
  <r>
    <n v="1018"/>
    <d v="2024-02-22T00:00:00"/>
    <x v="2"/>
    <x v="0"/>
    <n v="2"/>
    <n v="6000"/>
    <x v="1"/>
    <x v="1"/>
    <n v="12000"/>
    <x v="1"/>
  </r>
  <r>
    <n v="1019"/>
    <d v="2024-02-25T00:00:00"/>
    <x v="4"/>
    <x v="1"/>
    <n v="4"/>
    <n v="1500"/>
    <x v="2"/>
    <x v="2"/>
    <n v="6000"/>
    <x v="1"/>
  </r>
  <r>
    <n v="1020"/>
    <d v="2024-02-28T00:00:00"/>
    <x v="3"/>
    <x v="1"/>
    <n v="3"/>
    <n v="3000"/>
    <x v="3"/>
    <x v="3"/>
    <n v="9000"/>
    <x v="1"/>
  </r>
  <r>
    <n v="1021"/>
    <d v="2024-03-02T00:00:00"/>
    <x v="0"/>
    <x v="0"/>
    <n v="2"/>
    <n v="12000"/>
    <x v="0"/>
    <x v="0"/>
    <n v="24000"/>
    <x v="2"/>
  </r>
  <r>
    <n v="1022"/>
    <d v="2024-03-04T00:00:00"/>
    <x v="1"/>
    <x v="0"/>
    <n v="5"/>
    <n v="8000"/>
    <x v="1"/>
    <x v="1"/>
    <n v="40000"/>
    <x v="2"/>
  </r>
  <r>
    <n v="1023"/>
    <d v="2024-03-06T00:00:00"/>
    <x v="2"/>
    <x v="0"/>
    <n v="3"/>
    <n v="6000"/>
    <x v="2"/>
    <x v="2"/>
    <n v="18000"/>
    <x v="2"/>
  </r>
  <r>
    <n v="1024"/>
    <d v="2024-03-08T00:00:00"/>
    <x v="4"/>
    <x v="1"/>
    <n v="4"/>
    <n v="1500"/>
    <x v="3"/>
    <x v="3"/>
    <n v="6000"/>
    <x v="2"/>
  </r>
  <r>
    <n v="1025"/>
    <d v="2024-03-10T00:00:00"/>
    <x v="3"/>
    <x v="1"/>
    <n v="2"/>
    <n v="3000"/>
    <x v="0"/>
    <x v="0"/>
    <n v="6000"/>
    <x v="2"/>
  </r>
  <r>
    <n v="1026"/>
    <d v="2024-03-12T00:00:00"/>
    <x v="0"/>
    <x v="0"/>
    <n v="1"/>
    <n v="12000"/>
    <x v="1"/>
    <x v="1"/>
    <n v="12000"/>
    <x v="2"/>
  </r>
  <r>
    <n v="1027"/>
    <d v="2024-03-14T00:00:00"/>
    <x v="1"/>
    <x v="0"/>
    <n v="6"/>
    <n v="8000"/>
    <x v="2"/>
    <x v="2"/>
    <n v="48000"/>
    <x v="2"/>
  </r>
  <r>
    <n v="1028"/>
    <d v="2024-03-16T00:00:00"/>
    <x v="2"/>
    <x v="0"/>
    <n v="2"/>
    <n v="6000"/>
    <x v="3"/>
    <x v="3"/>
    <n v="12000"/>
    <x v="2"/>
  </r>
  <r>
    <n v="1029"/>
    <d v="2024-03-18T00:00:00"/>
    <x v="4"/>
    <x v="1"/>
    <n v="5"/>
    <n v="1500"/>
    <x v="0"/>
    <x v="0"/>
    <n v="7500"/>
    <x v="2"/>
  </r>
  <r>
    <n v="1030"/>
    <d v="2024-03-20T00:00:00"/>
    <x v="3"/>
    <x v="1"/>
    <n v="3"/>
    <n v="3000"/>
    <x v="1"/>
    <x v="1"/>
    <n v="9000"/>
    <x v="2"/>
  </r>
  <r>
    <n v="1031"/>
    <d v="2024-03-22T00:00:00"/>
    <x v="0"/>
    <x v="0"/>
    <n v="2"/>
    <n v="12000"/>
    <x v="2"/>
    <x v="2"/>
    <n v="24000"/>
    <x v="2"/>
  </r>
  <r>
    <n v="1032"/>
    <d v="2024-03-24T00:00:00"/>
    <x v="1"/>
    <x v="0"/>
    <n v="4"/>
    <n v="8000"/>
    <x v="3"/>
    <x v="3"/>
    <n v="32000"/>
    <x v="2"/>
  </r>
  <r>
    <n v="1033"/>
    <d v="2024-03-26T00:00:00"/>
    <x v="2"/>
    <x v="0"/>
    <n v="3"/>
    <n v="6000"/>
    <x v="0"/>
    <x v="0"/>
    <n v="18000"/>
    <x v="2"/>
  </r>
  <r>
    <n v="1034"/>
    <d v="2024-03-28T00:00:00"/>
    <x v="4"/>
    <x v="1"/>
    <n v="6"/>
    <n v="1500"/>
    <x v="1"/>
    <x v="1"/>
    <n v="9000"/>
    <x v="2"/>
  </r>
  <r>
    <n v="1035"/>
    <d v="2024-03-30T00:00:00"/>
    <x v="3"/>
    <x v="1"/>
    <n v="2"/>
    <n v="3000"/>
    <x v="2"/>
    <x v="2"/>
    <n v="6000"/>
    <x v="2"/>
  </r>
  <r>
    <n v="1036"/>
    <d v="2024-04-02T00:00:00"/>
    <x v="0"/>
    <x v="0"/>
    <n v="1"/>
    <n v="12000"/>
    <x v="3"/>
    <x v="3"/>
    <n v="12000"/>
    <x v="3"/>
  </r>
  <r>
    <n v="1037"/>
    <d v="2024-04-04T00:00:00"/>
    <x v="1"/>
    <x v="0"/>
    <n v="7"/>
    <n v="8000"/>
    <x v="0"/>
    <x v="0"/>
    <n v="56000"/>
    <x v="3"/>
  </r>
  <r>
    <n v="1038"/>
    <d v="2024-04-06T00:00:00"/>
    <x v="2"/>
    <x v="0"/>
    <n v="2"/>
    <n v="6000"/>
    <x v="1"/>
    <x v="1"/>
    <n v="12000"/>
    <x v="3"/>
  </r>
  <r>
    <n v="1039"/>
    <d v="2024-04-08T00:00:00"/>
    <x v="4"/>
    <x v="1"/>
    <n v="4"/>
    <n v="1500"/>
    <x v="2"/>
    <x v="2"/>
    <n v="6000"/>
    <x v="3"/>
  </r>
  <r>
    <n v="1040"/>
    <d v="2024-04-10T00:00:00"/>
    <x v="3"/>
    <x v="1"/>
    <n v="3"/>
    <n v="3000"/>
    <x v="3"/>
    <x v="3"/>
    <n v="9000"/>
    <x v="3"/>
  </r>
  <r>
    <n v="1041"/>
    <d v="2024-04-12T00:00:00"/>
    <x v="0"/>
    <x v="0"/>
    <n v="2"/>
    <n v="12000"/>
    <x v="0"/>
    <x v="0"/>
    <n v="24000"/>
    <x v="3"/>
  </r>
  <r>
    <n v="1042"/>
    <d v="2024-04-14T00:00:00"/>
    <x v="1"/>
    <x v="0"/>
    <n v="5"/>
    <n v="8000"/>
    <x v="1"/>
    <x v="1"/>
    <n v="40000"/>
    <x v="3"/>
  </r>
  <r>
    <n v="1043"/>
    <d v="2024-04-16T00:00:00"/>
    <x v="2"/>
    <x v="0"/>
    <n v="3"/>
    <n v="6000"/>
    <x v="2"/>
    <x v="2"/>
    <n v="18000"/>
    <x v="3"/>
  </r>
  <r>
    <n v="1045"/>
    <d v="2024-04-20T00:00:00"/>
    <x v="3"/>
    <x v="1"/>
    <n v="2"/>
    <n v="3000"/>
    <x v="0"/>
    <x v="0"/>
    <n v="6000"/>
    <x v="3"/>
  </r>
  <r>
    <n v="1046"/>
    <d v="2024-04-22T00:00:00"/>
    <x v="0"/>
    <x v="0"/>
    <n v="1"/>
    <n v="12000"/>
    <x v="1"/>
    <x v="4"/>
    <n v="12000"/>
    <x v="3"/>
  </r>
  <r>
    <n v="1047"/>
    <d v="2024-04-24T00:00:00"/>
    <x v="1"/>
    <x v="0"/>
    <n v="6"/>
    <n v="8000"/>
    <x v="2"/>
    <x v="2"/>
    <n v="48000"/>
    <x v="3"/>
  </r>
  <r>
    <n v="1048"/>
    <d v="2024-04-26T00:00:00"/>
    <x v="2"/>
    <x v="0"/>
    <n v="2"/>
    <n v="6000"/>
    <x v="3"/>
    <x v="3"/>
    <n v="12000"/>
    <x v="3"/>
  </r>
  <r>
    <n v="1049"/>
    <d v="2024-04-28T00:00:00"/>
    <x v="4"/>
    <x v="1"/>
    <n v="5"/>
    <n v="1500"/>
    <x v="0"/>
    <x v="0"/>
    <n v="7500"/>
    <x v="3"/>
  </r>
  <r>
    <n v="1050"/>
    <d v="2024-04-30T00:00:00"/>
    <x v="3"/>
    <x v="1"/>
    <n v="3"/>
    <n v="3000"/>
    <x v="1"/>
    <x v="1"/>
    <n v="9000"/>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92E6C64-2F9D-443D-AE81-1304DED4A368}" name="Saleperson Performanc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9:B35" firstHeaderRow="1" firstDataRow="1" firstDataCol="1"/>
  <pivotFields count="12">
    <pivotField showAll="0"/>
    <pivotField numFmtId="14" showAll="0"/>
    <pivotField showAll="0"/>
    <pivotField showAll="0"/>
    <pivotField showAll="0"/>
    <pivotField showAll="0"/>
    <pivotField showAll="0"/>
    <pivotField axis="axisRow" showAll="0">
      <items count="6">
        <item x="2"/>
        <item x="0"/>
        <item x="1"/>
        <item x="3"/>
        <item x="4"/>
        <item t="default"/>
      </items>
    </pivotField>
    <pivotField dataField="1" showAll="0"/>
    <pivotField numFmtId="14" showAll="0">
      <items count="5">
        <item x="0"/>
        <item x="1"/>
        <item x="2"/>
        <item x="3"/>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7"/>
  </rowFields>
  <rowItems count="6">
    <i>
      <x/>
    </i>
    <i>
      <x v="1"/>
    </i>
    <i>
      <x v="2"/>
    </i>
    <i>
      <x v="3"/>
    </i>
    <i>
      <x v="4"/>
    </i>
    <i t="grand">
      <x/>
    </i>
  </rowItems>
  <colItems count="1">
    <i/>
  </colItems>
  <dataFields count="1">
    <dataField name="Sum of revenue"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7BF86ED-9B5C-443E-BA35-5E459117CD3F}" name="Top Performing Products"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A10:B16" firstHeaderRow="1" firstDataRow="1" firstDataCol="1"/>
  <pivotFields count="12">
    <pivotField showAll="0"/>
    <pivotField numFmtId="14" showAll="0"/>
    <pivotField axis="axisRow" showAll="0">
      <items count="6">
        <item x="4"/>
        <item x="3"/>
        <item x="0"/>
        <item x="1"/>
        <item x="2"/>
        <item t="default"/>
      </items>
    </pivotField>
    <pivotField showAll="0">
      <items count="3">
        <item x="0"/>
        <item x="1"/>
        <item t="default"/>
      </items>
    </pivotField>
    <pivotField showAll="0"/>
    <pivotField showAll="0"/>
    <pivotField showAll="0">
      <items count="5">
        <item x="2"/>
        <item x="0"/>
        <item x="1"/>
        <item x="3"/>
        <item t="default"/>
      </items>
    </pivotField>
    <pivotField showAll="0">
      <items count="6">
        <item x="2"/>
        <item x="0"/>
        <item x="1"/>
        <item x="3"/>
        <item x="4"/>
        <item t="default"/>
      </items>
    </pivotField>
    <pivotField dataField="1" showAll="0"/>
    <pivotField numFmtId="14" showAll="0">
      <items count="5">
        <item x="0"/>
        <item x="1"/>
        <item x="2"/>
        <item x="3"/>
        <item t="default"/>
      </items>
    </pivotField>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1">
    <field x="2"/>
  </rowFields>
  <rowItems count="6">
    <i>
      <x/>
    </i>
    <i>
      <x v="1"/>
    </i>
    <i>
      <x v="2"/>
    </i>
    <i>
      <x v="3"/>
    </i>
    <i>
      <x v="4"/>
    </i>
    <i t="grand">
      <x/>
    </i>
  </rowItems>
  <colItems count="1">
    <i/>
  </colItems>
  <dataFields count="1">
    <dataField name="Sum of revenue" fld="8" baseField="0" baseItem="0"/>
  </dataFields>
  <chartFormats count="6">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2" count="1" selected="0">
            <x v="0"/>
          </reference>
        </references>
      </pivotArea>
    </chartFormat>
    <chartFormat chart="2" format="3">
      <pivotArea type="data" outline="0" fieldPosition="0">
        <references count="2">
          <reference field="4294967294" count="1" selected="0">
            <x v="0"/>
          </reference>
          <reference field="2" count="1" selected="0">
            <x v="1"/>
          </reference>
        </references>
      </pivotArea>
    </chartFormat>
    <chartFormat chart="2" format="4">
      <pivotArea type="data" outline="0" fieldPosition="0">
        <references count="2">
          <reference field="4294967294" count="1" selected="0">
            <x v="0"/>
          </reference>
          <reference field="2" count="1" selected="0">
            <x v="2"/>
          </reference>
        </references>
      </pivotArea>
    </chartFormat>
    <chartFormat chart="2" format="5">
      <pivotArea type="data" outline="0" fieldPosition="0">
        <references count="2">
          <reference field="4294967294" count="1" selected="0">
            <x v="0"/>
          </reference>
          <reference field="2" count="1" selected="0">
            <x v="3"/>
          </reference>
        </references>
      </pivotArea>
    </chartFormat>
    <chartFormat chart="2" format="6">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EBA4ED6-0263-4163-B60D-94E9DAE81843}" name="Product Category Distribution"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9">
  <location ref="A39:B50" firstHeaderRow="1" firstDataRow="1" firstDataCol="1"/>
  <pivotFields count="12">
    <pivotField showAll="0"/>
    <pivotField numFmtId="14" showAll="0"/>
    <pivotField axis="axisRow" showAll="0">
      <items count="6">
        <item x="4"/>
        <item x="3"/>
        <item x="0"/>
        <item x="1"/>
        <item x="2"/>
        <item t="default"/>
      </items>
    </pivotField>
    <pivotField axis="axisRow" showAll="0">
      <items count="3">
        <item x="0"/>
        <item x="1"/>
        <item t="default"/>
      </items>
    </pivotField>
    <pivotField showAll="0"/>
    <pivotField showAll="0"/>
    <pivotField showAll="0">
      <items count="5">
        <item x="2"/>
        <item x="0"/>
        <item x="1"/>
        <item x="3"/>
        <item t="default"/>
      </items>
    </pivotField>
    <pivotField showAll="0">
      <items count="6">
        <item x="2"/>
        <item x="0"/>
        <item x="1"/>
        <item x="3"/>
        <item x="4"/>
        <item t="default"/>
      </items>
    </pivotField>
    <pivotField dataField="1" showAll="0"/>
    <pivotField numFmtId="14" showAll="0">
      <items count="5">
        <item x="0"/>
        <item x="1"/>
        <item x="2"/>
        <item x="3"/>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2">
    <field x="2"/>
    <field x="3"/>
  </rowFields>
  <rowItems count="11">
    <i>
      <x/>
    </i>
    <i r="1">
      <x v="1"/>
    </i>
    <i>
      <x v="1"/>
    </i>
    <i r="1">
      <x v="1"/>
    </i>
    <i>
      <x v="2"/>
    </i>
    <i r="1">
      <x/>
    </i>
    <i>
      <x v="3"/>
    </i>
    <i r="1">
      <x/>
    </i>
    <i>
      <x v="4"/>
    </i>
    <i r="1">
      <x/>
    </i>
    <i t="grand">
      <x/>
    </i>
  </rowItems>
  <colItems count="1">
    <i/>
  </colItems>
  <dataFields count="1">
    <dataField name="Sum of revenue" fld="8" baseField="0" baseItem="0"/>
  </dataFields>
  <chartFormats count="6">
    <chartFormat chart="20" format="1" series="1">
      <pivotArea type="data" outline="0" fieldPosition="0">
        <references count="1">
          <reference field="4294967294" count="1" selected="0">
            <x v="0"/>
          </reference>
        </references>
      </pivotArea>
    </chartFormat>
    <chartFormat chart="20" format="2">
      <pivotArea type="data" outline="0" fieldPosition="0">
        <references count="3">
          <reference field="4294967294" count="1" selected="0">
            <x v="0"/>
          </reference>
          <reference field="2" count="1" selected="0">
            <x v="0"/>
          </reference>
          <reference field="3" count="1" selected="0">
            <x v="1"/>
          </reference>
        </references>
      </pivotArea>
    </chartFormat>
    <chartFormat chart="20" format="3">
      <pivotArea type="data" outline="0" fieldPosition="0">
        <references count="3">
          <reference field="4294967294" count="1" selected="0">
            <x v="0"/>
          </reference>
          <reference field="2" count="1" selected="0">
            <x v="1"/>
          </reference>
          <reference field="3" count="1" selected="0">
            <x v="1"/>
          </reference>
        </references>
      </pivotArea>
    </chartFormat>
    <chartFormat chart="20" format="4">
      <pivotArea type="data" outline="0" fieldPosition="0">
        <references count="3">
          <reference field="4294967294" count="1" selected="0">
            <x v="0"/>
          </reference>
          <reference field="2" count="1" selected="0">
            <x v="2"/>
          </reference>
          <reference field="3" count="1" selected="0">
            <x v="0"/>
          </reference>
        </references>
      </pivotArea>
    </chartFormat>
    <chartFormat chart="20" format="5">
      <pivotArea type="data" outline="0" fieldPosition="0">
        <references count="3">
          <reference field="4294967294" count="1" selected="0">
            <x v="0"/>
          </reference>
          <reference field="2" count="1" selected="0">
            <x v="3"/>
          </reference>
          <reference field="3" count="1" selected="0">
            <x v="0"/>
          </reference>
        </references>
      </pivotArea>
    </chartFormat>
    <chartFormat chart="20" format="6">
      <pivotArea type="data" outline="0" fieldPosition="0">
        <references count="3">
          <reference field="4294967294" count="1" selected="0">
            <x v="0"/>
          </reference>
          <reference field="2" count="1" selected="0">
            <x v="4"/>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EA1BD0D-A2BA-41BA-AC63-F069DCA73CCD}" name="Monthly Revenue Trends"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20:B25" firstHeaderRow="1" firstDataRow="1" firstDataCol="1"/>
  <pivotFields count="12">
    <pivotField showAll="0"/>
    <pivotField numFmtId="14" showAll="0"/>
    <pivotField showAll="0">
      <items count="6">
        <item x="4"/>
        <item x="3"/>
        <item x="0"/>
        <item x="1"/>
        <item x="2"/>
        <item t="default"/>
      </items>
    </pivotField>
    <pivotField showAll="0">
      <items count="3">
        <item x="0"/>
        <item x="1"/>
        <item t="default"/>
      </items>
    </pivotField>
    <pivotField showAll="0"/>
    <pivotField showAll="0"/>
    <pivotField showAll="0">
      <items count="5">
        <item x="2"/>
        <item x="0"/>
        <item x="1"/>
        <item x="3"/>
        <item t="default"/>
      </items>
    </pivotField>
    <pivotField showAll="0">
      <items count="6">
        <item x="2"/>
        <item x="0"/>
        <item x="1"/>
        <item x="3"/>
        <item x="4"/>
        <item t="default"/>
      </items>
    </pivotField>
    <pivotField dataField="1" showAll="0"/>
    <pivotField axis="axisRow" numFmtId="14" showAll="0">
      <items count="5">
        <item x="0"/>
        <item x="1"/>
        <item x="2"/>
        <item x="3"/>
        <item t="default"/>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1"/>
    <field x="10"/>
    <field x="9"/>
  </rowFields>
  <rowItems count="5">
    <i>
      <x v="1"/>
    </i>
    <i>
      <x v="2"/>
    </i>
    <i>
      <x v="3"/>
    </i>
    <i>
      <x v="4"/>
    </i>
    <i t="grand">
      <x/>
    </i>
  </rowItems>
  <colItems count="1">
    <i/>
  </colItems>
  <dataFields count="1">
    <dataField name="Sum of revenue" fld="8" baseField="0"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701EDC3-81C2-4D13-8691-DB7E36575968}" name="Sales by Region"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1:B6" firstHeaderRow="1" firstDataRow="1" firstDataCol="1"/>
  <pivotFields count="12">
    <pivotField showAll="0"/>
    <pivotField numFmtId="14" showAll="0"/>
    <pivotField showAll="0">
      <items count="6">
        <item x="4"/>
        <item x="3"/>
        <item x="0"/>
        <item x="1"/>
        <item x="2"/>
        <item t="default"/>
      </items>
    </pivotField>
    <pivotField showAll="0">
      <items count="3">
        <item x="0"/>
        <item x="1"/>
        <item t="default"/>
      </items>
    </pivotField>
    <pivotField showAll="0"/>
    <pivotField showAll="0"/>
    <pivotField axis="axisRow" showAll="0">
      <items count="5">
        <item x="2"/>
        <item x="0"/>
        <item x="1"/>
        <item x="3"/>
        <item t="default"/>
      </items>
    </pivotField>
    <pivotField showAll="0">
      <items count="6">
        <item x="2"/>
        <item x="0"/>
        <item x="1"/>
        <item x="3"/>
        <item x="4"/>
        <item t="default"/>
      </items>
    </pivotField>
    <pivotField dataField="1" showAll="0"/>
    <pivotField numFmtId="14" showAll="0">
      <items count="5">
        <item x="0"/>
        <item x="1"/>
        <item x="2"/>
        <item x="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5">
    <i>
      <x/>
    </i>
    <i>
      <x v="1"/>
    </i>
    <i>
      <x v="2"/>
    </i>
    <i>
      <x v="3"/>
    </i>
    <i t="grand">
      <x/>
    </i>
  </rowItems>
  <colItems count="1">
    <i/>
  </colItems>
  <dataFields count="1">
    <dataField name="Sum of revenue" fld="8" baseField="0"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EF61005-3DC2-4F04-A889-30AB3AB0D1A3}" name="Salesperson Performance Monthly"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location ref="A64:F73" firstHeaderRow="1" firstDataRow="4" firstDataCol="1"/>
  <pivotFields count="12">
    <pivotField showAll="0"/>
    <pivotField numFmtId="14" showAll="0"/>
    <pivotField showAll="0">
      <items count="6">
        <item x="4"/>
        <item x="3"/>
        <item x="0"/>
        <item x="1"/>
        <item x="2"/>
        <item t="default"/>
      </items>
    </pivotField>
    <pivotField showAll="0">
      <items count="3">
        <item x="0"/>
        <item x="1"/>
        <item t="default"/>
      </items>
    </pivotField>
    <pivotField showAll="0"/>
    <pivotField showAll="0"/>
    <pivotField showAll="0">
      <items count="5">
        <item x="2"/>
        <item x="0"/>
        <item x="1"/>
        <item x="3"/>
        <item t="default"/>
      </items>
    </pivotField>
    <pivotField axis="axisRow" showAll="0">
      <items count="6">
        <item x="2"/>
        <item x="0"/>
        <item x="1"/>
        <item x="3"/>
        <item x="4"/>
        <item t="default"/>
      </items>
    </pivotField>
    <pivotField dataField="1" showAll="0"/>
    <pivotField axis="axisCol" numFmtId="14" showAll="0">
      <items count="5">
        <item x="0"/>
        <item x="1"/>
        <item x="2"/>
        <item x="3"/>
        <item t="default"/>
      </items>
    </pivotField>
    <pivotField axis="axisCol"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Col" showAll="0" defaultSubtotal="0">
      <items count="14">
        <item sd="0" x="0"/>
        <item sd="0" x="1"/>
        <item sd="0" x="2"/>
        <item sd="0" x="3"/>
        <item sd="0" x="4"/>
        <item sd="0" x="5"/>
        <item sd="0" x="6"/>
        <item sd="0" x="7"/>
        <item sd="0" x="8"/>
        <item sd="0" x="9"/>
        <item sd="0" x="10"/>
        <item sd="0" x="11"/>
        <item sd="0" x="12"/>
        <item sd="0" x="13"/>
      </items>
    </pivotField>
  </pivotFields>
  <rowFields count="1">
    <field x="7"/>
  </rowFields>
  <rowItems count="6">
    <i>
      <x/>
    </i>
    <i>
      <x v="1"/>
    </i>
    <i>
      <x v="2"/>
    </i>
    <i>
      <x v="3"/>
    </i>
    <i>
      <x v="4"/>
    </i>
    <i t="grand">
      <x/>
    </i>
  </rowItems>
  <colFields count="3">
    <field x="11"/>
    <field x="10"/>
    <field x="9"/>
  </colFields>
  <colItems count="5">
    <i>
      <x v="1"/>
    </i>
    <i>
      <x v="2"/>
    </i>
    <i>
      <x v="3"/>
    </i>
    <i>
      <x v="4"/>
    </i>
    <i t="grand">
      <x/>
    </i>
  </colItems>
  <dataFields count="1">
    <dataField name="Sum of revenue" fld="8" baseField="0" baseItem="0"/>
  </dataFields>
  <chartFormats count="12">
    <chartFormat chart="3" format="4" series="1">
      <pivotArea type="data" outline="0" fieldPosition="0">
        <references count="2">
          <reference field="4294967294" count="1" selected="0">
            <x v="0"/>
          </reference>
          <reference field="11" count="1" selected="0">
            <x v="1"/>
          </reference>
        </references>
      </pivotArea>
    </chartFormat>
    <chartFormat chart="3" format="5" series="1">
      <pivotArea type="data" outline="0" fieldPosition="0">
        <references count="2">
          <reference field="4294967294" count="1" selected="0">
            <x v="0"/>
          </reference>
          <reference field="11" count="1" selected="0">
            <x v="2"/>
          </reference>
        </references>
      </pivotArea>
    </chartFormat>
    <chartFormat chart="3" format="6" series="1">
      <pivotArea type="data" outline="0" fieldPosition="0">
        <references count="2">
          <reference field="4294967294" count="1" selected="0">
            <x v="0"/>
          </reference>
          <reference field="11" count="1" selected="0">
            <x v="3"/>
          </reference>
        </references>
      </pivotArea>
    </chartFormat>
    <chartFormat chart="3" format="7" series="1">
      <pivotArea type="data" outline="0" fieldPosition="0">
        <references count="2">
          <reference field="4294967294" count="1" selected="0">
            <x v="0"/>
          </reference>
          <reference field="11" count="1" selected="0">
            <x v="4"/>
          </reference>
        </references>
      </pivotArea>
    </chartFormat>
    <chartFormat chart="3" format="8">
      <pivotArea type="data" outline="0" fieldPosition="0">
        <references count="3">
          <reference field="4294967294" count="1" selected="0">
            <x v="0"/>
          </reference>
          <reference field="7" count="1" selected="0">
            <x v="3"/>
          </reference>
          <reference field="11" count="1" selected="0">
            <x v="2"/>
          </reference>
        </references>
      </pivotArea>
    </chartFormat>
    <chartFormat chart="3" format="9">
      <pivotArea type="data" outline="0" fieldPosition="0">
        <references count="3">
          <reference field="4294967294" count="1" selected="0">
            <x v="0"/>
          </reference>
          <reference field="7" count="1" selected="0">
            <x v="4"/>
          </reference>
          <reference field="11" count="1" selected="0">
            <x v="4"/>
          </reference>
        </references>
      </pivotArea>
    </chartFormat>
    <chartFormat chart="3" format="10">
      <pivotArea type="data" outline="0" fieldPosition="0">
        <references count="3">
          <reference field="4294967294" count="1" selected="0">
            <x v="0"/>
          </reference>
          <reference field="7" count="1" selected="0">
            <x v="2"/>
          </reference>
          <reference field="11" count="1" selected="0">
            <x v="3"/>
          </reference>
        </references>
      </pivotArea>
    </chartFormat>
    <chartFormat chart="3" format="11">
      <pivotArea type="data" outline="0" fieldPosition="0">
        <references count="3">
          <reference field="4294967294" count="1" selected="0">
            <x v="0"/>
          </reference>
          <reference field="7" count="1" selected="0">
            <x v="2"/>
          </reference>
          <reference field="11" count="1" selected="0">
            <x v="4"/>
          </reference>
        </references>
      </pivotArea>
    </chartFormat>
    <chartFormat chart="3" format="12">
      <pivotArea type="data" outline="0" fieldPosition="0">
        <references count="3">
          <reference field="4294967294" count="1" selected="0">
            <x v="0"/>
          </reference>
          <reference field="7" count="1" selected="0">
            <x v="0"/>
          </reference>
          <reference field="11" count="1" selected="0">
            <x v="4"/>
          </reference>
        </references>
      </pivotArea>
    </chartFormat>
    <chartFormat chart="3" format="13">
      <pivotArea type="data" outline="0" fieldPosition="0">
        <references count="3">
          <reference field="4294967294" count="1" selected="0">
            <x v="0"/>
          </reference>
          <reference field="7" count="1" selected="0">
            <x v="1"/>
          </reference>
          <reference field="11" count="1" selected="0">
            <x v="4"/>
          </reference>
        </references>
      </pivotArea>
    </chartFormat>
    <chartFormat chart="3" format="14">
      <pivotArea type="data" outline="0" fieldPosition="0">
        <references count="3">
          <reference field="4294967294" count="1" selected="0">
            <x v="0"/>
          </reference>
          <reference field="7" count="1" selected="0">
            <x v="0"/>
          </reference>
          <reference field="11" count="1" selected="0">
            <x v="3"/>
          </reference>
        </references>
      </pivotArea>
    </chartFormat>
    <chartFormat chart="3" format="1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975136F-C808-4BF6-9947-A39165D24CB0}" name="Products of the Month"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54:G60" firstHeaderRow="1" firstDataRow="2" firstDataCol="1"/>
  <pivotFields count="12">
    <pivotField showAll="0"/>
    <pivotField numFmtId="14" showAll="0"/>
    <pivotField axis="axisCol" showAll="0">
      <items count="6">
        <item x="4"/>
        <item x="3"/>
        <item x="0"/>
        <item x="1"/>
        <item x="2"/>
        <item t="default"/>
      </items>
    </pivotField>
    <pivotField showAll="0">
      <items count="3">
        <item x="0"/>
        <item x="1"/>
        <item t="default"/>
      </items>
    </pivotField>
    <pivotField showAll="0"/>
    <pivotField showAll="0"/>
    <pivotField showAll="0">
      <items count="5">
        <item x="2"/>
        <item x="0"/>
        <item x="1"/>
        <item x="3"/>
        <item t="default"/>
      </items>
    </pivotField>
    <pivotField showAll="0">
      <items count="6">
        <item x="2"/>
        <item x="0"/>
        <item x="1"/>
        <item x="3"/>
        <item x="4"/>
        <item t="default"/>
      </items>
    </pivotField>
    <pivotField dataField="1" showAll="0"/>
    <pivotField axis="axisRow" numFmtId="14" showAll="0">
      <items count="5">
        <item x="0"/>
        <item x="1"/>
        <item x="2"/>
        <item x="3"/>
        <item t="default"/>
      </items>
    </pivotField>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3">
    <field x="11"/>
    <field x="10"/>
    <field x="9"/>
  </rowFields>
  <rowItems count="5">
    <i>
      <x v="1"/>
    </i>
    <i>
      <x v="2"/>
    </i>
    <i>
      <x v="3"/>
    </i>
    <i>
      <x v="4"/>
    </i>
    <i t="grand">
      <x/>
    </i>
  </rowItems>
  <colFields count="1">
    <field x="2"/>
  </colFields>
  <colItems count="6">
    <i>
      <x/>
    </i>
    <i>
      <x v="1"/>
    </i>
    <i>
      <x v="2"/>
    </i>
    <i>
      <x v="3"/>
    </i>
    <i>
      <x v="4"/>
    </i>
    <i t="grand">
      <x/>
    </i>
  </colItems>
  <dataFields count="1">
    <dataField name="Sum of revenue" fld="8" baseField="0" baseItem="0"/>
  </dataFields>
  <chartFormats count="6">
    <chartFormat chart="2" format="5" series="1">
      <pivotArea type="data" outline="0" fieldPosition="0">
        <references count="2">
          <reference field="4294967294" count="1" selected="0">
            <x v="0"/>
          </reference>
          <reference field="2" count="1" selected="0">
            <x v="0"/>
          </reference>
        </references>
      </pivotArea>
    </chartFormat>
    <chartFormat chart="2" format="6" series="1">
      <pivotArea type="data" outline="0" fieldPosition="0">
        <references count="2">
          <reference field="4294967294" count="1" selected="0">
            <x v="0"/>
          </reference>
          <reference field="2" count="1" selected="0">
            <x v="1"/>
          </reference>
        </references>
      </pivotArea>
    </chartFormat>
    <chartFormat chart="2" format="7" series="1">
      <pivotArea type="data" outline="0" fieldPosition="0">
        <references count="2">
          <reference field="4294967294" count="1" selected="0">
            <x v="0"/>
          </reference>
          <reference field="2" count="1" selected="0">
            <x v="2"/>
          </reference>
        </references>
      </pivotArea>
    </chartFormat>
    <chartFormat chart="2" format="8" series="1">
      <pivotArea type="data" outline="0" fieldPosition="0">
        <references count="2">
          <reference field="4294967294" count="1" selected="0">
            <x v="0"/>
          </reference>
          <reference field="2" count="1" selected="0">
            <x v="3"/>
          </reference>
        </references>
      </pivotArea>
    </chartFormat>
    <chartFormat chart="2" format="9" series="1">
      <pivotArea type="data" outline="0" fieldPosition="0">
        <references count="2">
          <reference field="4294967294" count="1" selected="0">
            <x v="0"/>
          </reference>
          <reference field="2" count="1" selected="0">
            <x v="4"/>
          </reference>
        </references>
      </pivotArea>
    </chartFormat>
    <chartFormat chart="2"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604BCA9-C72A-45E1-8FA9-C6178CEDFAF6}" autoFormatId="16" applyNumberFormats="0" applyBorderFormats="0" applyFontFormats="0" applyPatternFormats="0" applyAlignmentFormats="0" applyWidthHeightFormats="0">
  <queryTableRefresh nextId="11">
    <queryTableFields count="10">
      <queryTableField id="1" name="transaction_id" tableColumnId="1"/>
      <queryTableField id="2" name="date" tableColumnId="2"/>
      <queryTableField id="3" name="product" tableColumnId="3"/>
      <queryTableField id="4" name="category" tableColumnId="4"/>
      <queryTableField id="5" name="quantity" tableColumnId="5"/>
      <queryTableField id="6" name="price" tableColumnId="6"/>
      <queryTableField id="7" name="region" tableColumnId="7"/>
      <queryTableField id="8" name="salesperson" tableColumnId="8"/>
      <queryTableField id="9" name="revenue" tableColumnId="9"/>
      <queryTableField id="10" name="month"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D60B6C3-DC1A-4E91-8DB3-AF308B4FDDBB}" sourceName="category">
  <pivotTables>
    <pivotTable tabId="2" name="Monthly Revenue Trends"/>
    <pivotTable tabId="2" name="Sales by Region"/>
    <pivotTable tabId="2" name="Products of the Month"/>
    <pivotTable tabId="2" name="Top Performing Products"/>
    <pivotTable tabId="2" name="Salesperson Performance Monthly"/>
    <pivotTable tabId="2" name="Product Category Distribution"/>
  </pivotTables>
  <data>
    <tabular pivotCacheId="75537382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E15917F-2152-4E6D-AC9B-CCC9EC1537E7}" sourceName="region">
  <pivotTables>
    <pivotTable tabId="2" name="Monthly Revenue Trends"/>
    <pivotTable tabId="2" name="Product Category Distribution"/>
    <pivotTable tabId="2" name="Sales by Region"/>
    <pivotTable tabId="2" name="Products of the Month"/>
    <pivotTable tabId="2" name="Top Performing Products"/>
    <pivotTable tabId="2" name="Salesperson Performance Monthly"/>
  </pivotTables>
  <data>
    <tabular pivotCacheId="755373820">
      <items count="4">
        <i x="2" s="1"/>
        <i x="0"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87AEC4D0-E322-4BDA-BDC9-BED6E27096D1}" sourceName="salesperson">
  <pivotTables>
    <pivotTable tabId="2" name="Monthly Revenue Trends"/>
    <pivotTable tabId="2" name="Product Category Distribution"/>
    <pivotTable tabId="2" name="Sales by Region"/>
    <pivotTable tabId="2" name="Products of the Month"/>
    <pivotTable tabId="2" name="Top Performing Products"/>
  </pivotTables>
  <data>
    <tabular pivotCacheId="755373820">
      <items count="5">
        <i x="2" s="1"/>
        <i x="0" s="1"/>
        <i x="1" s="1"/>
        <i x="3"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5EAD2BF1-9F58-475F-AFB8-5DD4328E1124}" sourceName="product">
  <pivotTables>
    <pivotTable tabId="2" name="Product Category Distribution"/>
    <pivotTable tabId="2" name="Monthly Revenue Trends"/>
    <pivotTable tabId="2" name="Products of the Month"/>
    <pivotTable tabId="2" name="Sales by Region"/>
    <pivotTable tabId="2" name="Top Performing Products"/>
    <pivotTable tabId="2" name="Salesperson Performance Monthly"/>
  </pivotTables>
  <data>
    <tabular pivotCacheId="755373820">
      <items count="5">
        <i x="4" s="1"/>
        <i x="3" s="1"/>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64E1BC70-1A9B-4CD9-B896-DA31F851DF95}" cache="Slicer_category" caption="Category" columnCount="2" style="SlicerStyleDark3" rowHeight="360000"/>
  <slicer name="region" xr10:uid="{4165D014-483A-412A-840E-6DC1DC07794D}" cache="Slicer_region" caption="Region" columnCount="4" style="SlicerStyleDark3" rowHeight="468000"/>
  <slicer name="salesperson" xr10:uid="{04B5DD92-7045-437F-9E8D-E96F23A5A8F0}" cache="Slicer_salesperson" caption="Salesperson" columnCount="5" style="SlicerStyleDark3" rowHeight="360000"/>
  <slicer name="product" xr10:uid="{322D932B-7E00-434A-91C3-ADA3090113D1}" cache="Slicer_product" caption="Product" columnCount="5" style="SlicerStyleDark3" rowHeight="360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A80AC58-24AA-419C-B8F6-A154420FA345}" name="clean_sales" displayName="clean_sales" ref="A1:J49" tableType="queryTable" totalsRowShown="0">
  <autoFilter ref="A1:J49" xr:uid="{9A80AC58-24AA-419C-B8F6-A154420FA345}"/>
  <tableColumns count="10">
    <tableColumn id="1" xr3:uid="{279EAB81-F536-4596-9BF6-2B296D281BFE}" uniqueName="1" name="transaction_id" queryTableFieldId="1"/>
    <tableColumn id="2" xr3:uid="{D5E207CF-0D1A-4CDB-8A81-862BC1255173}" uniqueName="2" name="date" queryTableFieldId="2" dataDxfId="5"/>
    <tableColumn id="3" xr3:uid="{B49AF3FD-EA94-4A43-9737-C744A534E8DA}" uniqueName="3" name="product" queryTableFieldId="3" dataDxfId="4"/>
    <tableColumn id="4" xr3:uid="{B530BC2A-7636-49F2-92BF-FA9F86CE95D0}" uniqueName="4" name="category" queryTableFieldId="4" dataDxfId="3"/>
    <tableColumn id="5" xr3:uid="{190DB66F-FED8-4B76-A0B4-4C179D2CF9D1}" uniqueName="5" name="quantity" queryTableFieldId="5"/>
    <tableColumn id="6" xr3:uid="{74904D25-822B-48D9-8E07-B968E8BECBB9}" uniqueName="6" name="price" queryTableFieldId="6"/>
    <tableColumn id="7" xr3:uid="{34184B4D-DE5F-4816-A3D0-CD4DBB3A4F4C}" uniqueName="7" name="region" queryTableFieldId="7" dataDxfId="2"/>
    <tableColumn id="8" xr3:uid="{27C1F225-7A62-4C0E-95F6-A70381D296EB}" uniqueName="8" name="salesperson" queryTableFieldId="8" dataDxfId="1"/>
    <tableColumn id="9" xr3:uid="{3C1C857D-C213-4989-B3B4-B7040702F520}" uniqueName="9" name="revenue" queryTableFieldId="9"/>
    <tableColumn id="10" xr3:uid="{61625704-21BD-412D-ADA9-387A102FACCC}" uniqueName="10" name="month" queryTableFieldId="10" dataDxfId="0"/>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month" xr10:uid="{CED35FDF-E167-4998-BB67-18F73DEFA181}" sourceName="month">
  <pivotTables>
    <pivotTable tabId="2" name="Sales by Region"/>
    <pivotTable tabId="2" name="Monthly Revenue Trends"/>
    <pivotTable tabId="2" name="Product Category Distribution"/>
    <pivotTable tabId="2" name="Products of the Month"/>
    <pivotTable tabId="2" name="Salesperson Performance Monthly"/>
    <pivotTable tabId="2" name="Top Performing Products"/>
  </pivotTables>
  <state minimalRefreshVersion="6" lastRefreshVersion="6" pivotCacheId="755373820" filterType="unknown">
    <bounds startDate="2024-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month" xr10:uid="{71B26AFD-DA30-4484-BA14-703001161548}" cache="NativeTimeline_month" caption="Month" showSelectionLabel="0" showTimeLevel="0" showHorizontalScrollbar="0" level="2" selectionLevel="2" scrollPosition="2024-01-01T00:00:00" style="TimeSlicerStyleDark3"/>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DB170-33E7-4C18-8618-CD2F9A610DD1}">
  <dimension ref="A1:J49"/>
  <sheetViews>
    <sheetView zoomScale="65" workbookViewId="0">
      <selection activeCell="C2" sqref="C2"/>
    </sheetView>
  </sheetViews>
  <sheetFormatPr defaultRowHeight="14.4" x14ac:dyDescent="0.3"/>
  <cols>
    <col min="1" max="1" width="16.21875" bestFit="1" customWidth="1"/>
    <col min="2" max="2" width="11" bestFit="1" customWidth="1"/>
    <col min="3" max="3" width="10.44140625" bestFit="1" customWidth="1"/>
    <col min="4" max="4" width="11.109375" bestFit="1" customWidth="1"/>
    <col min="5" max="5" width="11" bestFit="1" customWidth="1"/>
    <col min="6" max="6" width="7.77734375" bestFit="1" customWidth="1"/>
    <col min="7" max="7" width="9" bestFit="1" customWidth="1"/>
    <col min="8" max="8" width="13.5546875" bestFit="1" customWidth="1"/>
    <col min="9" max="9" width="10.5546875" bestFit="1" customWidth="1"/>
    <col min="10" max="10" width="11" bestFit="1" customWidth="1"/>
  </cols>
  <sheetData>
    <row r="1" spans="1:10" x14ac:dyDescent="0.3">
      <c r="A1" t="s">
        <v>0</v>
      </c>
      <c r="B1" t="s">
        <v>1</v>
      </c>
      <c r="C1" t="s">
        <v>2</v>
      </c>
      <c r="D1" t="s">
        <v>3</v>
      </c>
      <c r="E1" t="s">
        <v>4</v>
      </c>
      <c r="F1" t="s">
        <v>5</v>
      </c>
      <c r="G1" t="s">
        <v>6</v>
      </c>
      <c r="H1" t="s">
        <v>7</v>
      </c>
      <c r="I1" t="s">
        <v>8</v>
      </c>
      <c r="J1" t="s">
        <v>9</v>
      </c>
    </row>
    <row r="2" spans="1:10" x14ac:dyDescent="0.3">
      <c r="A2">
        <v>1001</v>
      </c>
      <c r="B2" s="4">
        <v>45296</v>
      </c>
      <c r="C2" t="s">
        <v>10</v>
      </c>
      <c r="D2" t="s">
        <v>11</v>
      </c>
      <c r="E2">
        <v>2</v>
      </c>
      <c r="F2">
        <v>12000</v>
      </c>
      <c r="G2" t="s">
        <v>12</v>
      </c>
      <c r="H2" t="s">
        <v>13</v>
      </c>
      <c r="I2">
        <v>24000</v>
      </c>
      <c r="J2" s="4">
        <v>45292</v>
      </c>
    </row>
    <row r="3" spans="1:10" x14ac:dyDescent="0.3">
      <c r="A3">
        <v>1002</v>
      </c>
      <c r="B3" s="4">
        <v>45298</v>
      </c>
      <c r="C3" t="s">
        <v>14</v>
      </c>
      <c r="D3" t="s">
        <v>11</v>
      </c>
      <c r="E3">
        <v>5</v>
      </c>
      <c r="F3">
        <v>8000</v>
      </c>
      <c r="G3" t="s">
        <v>15</v>
      </c>
      <c r="H3" t="s">
        <v>16</v>
      </c>
      <c r="I3">
        <v>40000</v>
      </c>
      <c r="J3" s="4">
        <v>45292</v>
      </c>
    </row>
    <row r="4" spans="1:10" x14ac:dyDescent="0.3">
      <c r="A4">
        <v>1003</v>
      </c>
      <c r="B4" s="4">
        <v>45301</v>
      </c>
      <c r="C4" t="s">
        <v>17</v>
      </c>
      <c r="D4" t="s">
        <v>11</v>
      </c>
      <c r="E4">
        <v>3</v>
      </c>
      <c r="F4">
        <v>6000</v>
      </c>
      <c r="G4" t="s">
        <v>18</v>
      </c>
      <c r="H4" t="s">
        <v>19</v>
      </c>
      <c r="I4">
        <v>18000</v>
      </c>
      <c r="J4" s="4">
        <v>45292</v>
      </c>
    </row>
    <row r="5" spans="1:10" x14ac:dyDescent="0.3">
      <c r="A5">
        <v>1005</v>
      </c>
      <c r="B5" s="4">
        <v>45311</v>
      </c>
      <c r="C5" t="s">
        <v>20</v>
      </c>
      <c r="D5" t="s">
        <v>21</v>
      </c>
      <c r="E5">
        <v>2</v>
      </c>
      <c r="F5">
        <v>3000</v>
      </c>
      <c r="G5" t="s">
        <v>12</v>
      </c>
      <c r="H5" t="s">
        <v>13</v>
      </c>
      <c r="I5">
        <v>6000</v>
      </c>
      <c r="J5" s="4">
        <v>45292</v>
      </c>
    </row>
    <row r="6" spans="1:10" x14ac:dyDescent="0.3">
      <c r="A6">
        <v>1006</v>
      </c>
      <c r="B6" s="4">
        <v>45313</v>
      </c>
      <c r="C6" t="s">
        <v>10</v>
      </c>
      <c r="D6" t="s">
        <v>11</v>
      </c>
      <c r="E6">
        <v>1</v>
      </c>
      <c r="F6">
        <v>12000</v>
      </c>
      <c r="G6" t="s">
        <v>15</v>
      </c>
      <c r="H6" t="s">
        <v>16</v>
      </c>
      <c r="I6">
        <v>12000</v>
      </c>
      <c r="J6" s="4">
        <v>45292</v>
      </c>
    </row>
    <row r="7" spans="1:10" x14ac:dyDescent="0.3">
      <c r="A7">
        <v>1007</v>
      </c>
      <c r="B7" s="4">
        <v>45316</v>
      </c>
      <c r="C7" t="s">
        <v>14</v>
      </c>
      <c r="D7" t="s">
        <v>11</v>
      </c>
      <c r="E7">
        <v>6</v>
      </c>
      <c r="F7">
        <v>8000</v>
      </c>
      <c r="G7" t="s">
        <v>18</v>
      </c>
      <c r="H7" t="s">
        <v>19</v>
      </c>
      <c r="I7">
        <v>48000</v>
      </c>
      <c r="J7" s="4">
        <v>45292</v>
      </c>
    </row>
    <row r="8" spans="1:10" x14ac:dyDescent="0.3">
      <c r="A8">
        <v>1008</v>
      </c>
      <c r="B8" s="4">
        <v>45319</v>
      </c>
      <c r="C8" t="s">
        <v>17</v>
      </c>
      <c r="D8" t="s">
        <v>11</v>
      </c>
      <c r="E8">
        <v>2</v>
      </c>
      <c r="F8">
        <v>6000</v>
      </c>
      <c r="G8" t="s">
        <v>22</v>
      </c>
      <c r="H8" t="s">
        <v>23</v>
      </c>
      <c r="I8">
        <v>12000</v>
      </c>
      <c r="J8" s="4">
        <v>45292</v>
      </c>
    </row>
    <row r="9" spans="1:10" x14ac:dyDescent="0.3">
      <c r="A9">
        <v>1009</v>
      </c>
      <c r="B9" s="4">
        <v>45323</v>
      </c>
      <c r="C9" t="s">
        <v>24</v>
      </c>
      <c r="D9" t="s">
        <v>21</v>
      </c>
      <c r="E9">
        <v>5</v>
      </c>
      <c r="F9">
        <v>1500</v>
      </c>
      <c r="G9" t="s">
        <v>12</v>
      </c>
      <c r="H9" t="s">
        <v>13</v>
      </c>
      <c r="I9">
        <v>7500</v>
      </c>
      <c r="J9" s="4">
        <v>45323</v>
      </c>
    </row>
    <row r="10" spans="1:10" x14ac:dyDescent="0.3">
      <c r="A10">
        <v>1010</v>
      </c>
      <c r="B10" s="4">
        <v>45325</v>
      </c>
      <c r="C10" t="s">
        <v>20</v>
      </c>
      <c r="D10" t="s">
        <v>21</v>
      </c>
      <c r="E10">
        <v>3</v>
      </c>
      <c r="F10">
        <v>3000</v>
      </c>
      <c r="G10" t="s">
        <v>15</v>
      </c>
      <c r="H10" t="s">
        <v>25</v>
      </c>
      <c r="I10">
        <v>9000</v>
      </c>
      <c r="J10" s="4">
        <v>45323</v>
      </c>
    </row>
    <row r="11" spans="1:10" x14ac:dyDescent="0.3">
      <c r="A11">
        <v>1011</v>
      </c>
      <c r="B11" s="4">
        <v>45327</v>
      </c>
      <c r="C11" t="s">
        <v>10</v>
      </c>
      <c r="D11" t="s">
        <v>11</v>
      </c>
      <c r="E11">
        <v>2</v>
      </c>
      <c r="F11">
        <v>12000</v>
      </c>
      <c r="G11" t="s">
        <v>18</v>
      </c>
      <c r="H11" t="s">
        <v>19</v>
      </c>
      <c r="I11">
        <v>24000</v>
      </c>
      <c r="J11" s="4">
        <v>45323</v>
      </c>
    </row>
    <row r="12" spans="1:10" x14ac:dyDescent="0.3">
      <c r="A12">
        <v>1012</v>
      </c>
      <c r="B12" s="4">
        <v>45329</v>
      </c>
      <c r="C12" t="s">
        <v>14</v>
      </c>
      <c r="D12" t="s">
        <v>11</v>
      </c>
      <c r="E12">
        <v>4</v>
      </c>
      <c r="F12">
        <v>8000</v>
      </c>
      <c r="G12" t="s">
        <v>22</v>
      </c>
      <c r="H12" t="s">
        <v>23</v>
      </c>
      <c r="I12">
        <v>32000</v>
      </c>
      <c r="J12" s="4">
        <v>45323</v>
      </c>
    </row>
    <row r="13" spans="1:10" x14ac:dyDescent="0.3">
      <c r="A13">
        <v>1013</v>
      </c>
      <c r="B13" s="4">
        <v>45332</v>
      </c>
      <c r="C13" t="s">
        <v>17</v>
      </c>
      <c r="D13" t="s">
        <v>11</v>
      </c>
      <c r="E13">
        <v>3</v>
      </c>
      <c r="F13">
        <v>6000</v>
      </c>
      <c r="G13" t="s">
        <v>12</v>
      </c>
      <c r="H13" t="s">
        <v>13</v>
      </c>
      <c r="I13">
        <v>18000</v>
      </c>
      <c r="J13" s="4">
        <v>45323</v>
      </c>
    </row>
    <row r="14" spans="1:10" x14ac:dyDescent="0.3">
      <c r="A14">
        <v>1014</v>
      </c>
      <c r="B14" s="4">
        <v>45334</v>
      </c>
      <c r="C14" t="s">
        <v>24</v>
      </c>
      <c r="D14" t="s">
        <v>21</v>
      </c>
      <c r="E14">
        <v>6</v>
      </c>
      <c r="F14">
        <v>1500</v>
      </c>
      <c r="G14" t="s">
        <v>15</v>
      </c>
      <c r="H14" t="s">
        <v>16</v>
      </c>
      <c r="I14">
        <v>9000</v>
      </c>
      <c r="J14" s="4">
        <v>45323</v>
      </c>
    </row>
    <row r="15" spans="1:10" x14ac:dyDescent="0.3">
      <c r="A15">
        <v>1015</v>
      </c>
      <c r="B15" s="4">
        <v>45337</v>
      </c>
      <c r="C15" t="s">
        <v>20</v>
      </c>
      <c r="D15" t="s">
        <v>21</v>
      </c>
      <c r="E15">
        <v>2</v>
      </c>
      <c r="F15">
        <v>3000</v>
      </c>
      <c r="G15" t="s">
        <v>18</v>
      </c>
      <c r="H15" t="s">
        <v>19</v>
      </c>
      <c r="I15">
        <v>6000</v>
      </c>
      <c r="J15" s="4">
        <v>45323</v>
      </c>
    </row>
    <row r="16" spans="1:10" x14ac:dyDescent="0.3">
      <c r="A16">
        <v>1016</v>
      </c>
      <c r="B16" s="4">
        <v>45340</v>
      </c>
      <c r="C16" t="s">
        <v>10</v>
      </c>
      <c r="D16" t="s">
        <v>11</v>
      </c>
      <c r="E16">
        <v>1</v>
      </c>
      <c r="F16">
        <v>12000</v>
      </c>
      <c r="G16" t="s">
        <v>22</v>
      </c>
      <c r="H16" t="s">
        <v>23</v>
      </c>
      <c r="I16">
        <v>12000</v>
      </c>
      <c r="J16" s="4">
        <v>45323</v>
      </c>
    </row>
    <row r="17" spans="1:10" x14ac:dyDescent="0.3">
      <c r="A17">
        <v>1017</v>
      </c>
      <c r="B17" s="4">
        <v>45342</v>
      </c>
      <c r="C17" t="s">
        <v>14</v>
      </c>
      <c r="D17" t="s">
        <v>11</v>
      </c>
      <c r="E17">
        <v>7</v>
      </c>
      <c r="F17">
        <v>8000</v>
      </c>
      <c r="G17" t="s">
        <v>12</v>
      </c>
      <c r="H17" t="s">
        <v>13</v>
      </c>
      <c r="I17">
        <v>56000</v>
      </c>
      <c r="J17" s="4">
        <v>45323</v>
      </c>
    </row>
    <row r="18" spans="1:10" x14ac:dyDescent="0.3">
      <c r="A18">
        <v>1018</v>
      </c>
      <c r="B18" s="4">
        <v>45344</v>
      </c>
      <c r="C18" t="s">
        <v>17</v>
      </c>
      <c r="D18" t="s">
        <v>11</v>
      </c>
      <c r="E18">
        <v>2</v>
      </c>
      <c r="F18">
        <v>6000</v>
      </c>
      <c r="G18" t="s">
        <v>15</v>
      </c>
      <c r="H18" t="s">
        <v>16</v>
      </c>
      <c r="I18">
        <v>12000</v>
      </c>
      <c r="J18" s="4">
        <v>45323</v>
      </c>
    </row>
    <row r="19" spans="1:10" x14ac:dyDescent="0.3">
      <c r="A19">
        <v>1019</v>
      </c>
      <c r="B19" s="4">
        <v>45347</v>
      </c>
      <c r="C19" t="s">
        <v>24</v>
      </c>
      <c r="D19" t="s">
        <v>21</v>
      </c>
      <c r="E19">
        <v>4</v>
      </c>
      <c r="F19">
        <v>1500</v>
      </c>
      <c r="G19" t="s">
        <v>18</v>
      </c>
      <c r="H19" t="s">
        <v>19</v>
      </c>
      <c r="I19">
        <v>6000</v>
      </c>
      <c r="J19" s="4">
        <v>45323</v>
      </c>
    </row>
    <row r="20" spans="1:10" x14ac:dyDescent="0.3">
      <c r="A20">
        <v>1020</v>
      </c>
      <c r="B20" s="4">
        <v>45350</v>
      </c>
      <c r="C20" t="s">
        <v>20</v>
      </c>
      <c r="D20" t="s">
        <v>21</v>
      </c>
      <c r="E20">
        <v>3</v>
      </c>
      <c r="F20">
        <v>3000</v>
      </c>
      <c r="G20" t="s">
        <v>22</v>
      </c>
      <c r="H20" t="s">
        <v>23</v>
      </c>
      <c r="I20">
        <v>9000</v>
      </c>
      <c r="J20" s="4">
        <v>45323</v>
      </c>
    </row>
    <row r="21" spans="1:10" x14ac:dyDescent="0.3">
      <c r="A21">
        <v>1021</v>
      </c>
      <c r="B21" s="4">
        <v>45353</v>
      </c>
      <c r="C21" t="s">
        <v>10</v>
      </c>
      <c r="D21" t="s">
        <v>11</v>
      </c>
      <c r="E21">
        <v>2</v>
      </c>
      <c r="F21">
        <v>12000</v>
      </c>
      <c r="G21" t="s">
        <v>12</v>
      </c>
      <c r="H21" t="s">
        <v>13</v>
      </c>
      <c r="I21">
        <v>24000</v>
      </c>
      <c r="J21" s="4">
        <v>45352</v>
      </c>
    </row>
    <row r="22" spans="1:10" x14ac:dyDescent="0.3">
      <c r="A22">
        <v>1022</v>
      </c>
      <c r="B22" s="4">
        <v>45355</v>
      </c>
      <c r="C22" t="s">
        <v>14</v>
      </c>
      <c r="D22" t="s">
        <v>11</v>
      </c>
      <c r="E22">
        <v>5</v>
      </c>
      <c r="F22">
        <v>8000</v>
      </c>
      <c r="G22" t="s">
        <v>15</v>
      </c>
      <c r="H22" t="s">
        <v>16</v>
      </c>
      <c r="I22">
        <v>40000</v>
      </c>
      <c r="J22" s="4">
        <v>45352</v>
      </c>
    </row>
    <row r="23" spans="1:10" x14ac:dyDescent="0.3">
      <c r="A23">
        <v>1023</v>
      </c>
      <c r="B23" s="4">
        <v>45357</v>
      </c>
      <c r="C23" t="s">
        <v>17</v>
      </c>
      <c r="D23" t="s">
        <v>11</v>
      </c>
      <c r="E23">
        <v>3</v>
      </c>
      <c r="F23">
        <v>6000</v>
      </c>
      <c r="G23" t="s">
        <v>18</v>
      </c>
      <c r="H23" t="s">
        <v>19</v>
      </c>
      <c r="I23">
        <v>18000</v>
      </c>
      <c r="J23" s="4">
        <v>45352</v>
      </c>
    </row>
    <row r="24" spans="1:10" x14ac:dyDescent="0.3">
      <c r="A24">
        <v>1024</v>
      </c>
      <c r="B24" s="4">
        <v>45359</v>
      </c>
      <c r="C24" t="s">
        <v>24</v>
      </c>
      <c r="D24" t="s">
        <v>21</v>
      </c>
      <c r="E24">
        <v>4</v>
      </c>
      <c r="F24">
        <v>1500</v>
      </c>
      <c r="G24" t="s">
        <v>22</v>
      </c>
      <c r="H24" t="s">
        <v>23</v>
      </c>
      <c r="I24">
        <v>6000</v>
      </c>
      <c r="J24" s="4">
        <v>45352</v>
      </c>
    </row>
    <row r="25" spans="1:10" x14ac:dyDescent="0.3">
      <c r="A25">
        <v>1025</v>
      </c>
      <c r="B25" s="4">
        <v>45361</v>
      </c>
      <c r="C25" t="s">
        <v>20</v>
      </c>
      <c r="D25" t="s">
        <v>21</v>
      </c>
      <c r="E25">
        <v>2</v>
      </c>
      <c r="F25">
        <v>3000</v>
      </c>
      <c r="G25" t="s">
        <v>12</v>
      </c>
      <c r="H25" t="s">
        <v>13</v>
      </c>
      <c r="I25">
        <v>6000</v>
      </c>
      <c r="J25" s="4">
        <v>45352</v>
      </c>
    </row>
    <row r="26" spans="1:10" x14ac:dyDescent="0.3">
      <c r="A26">
        <v>1026</v>
      </c>
      <c r="B26" s="4">
        <v>45363</v>
      </c>
      <c r="C26" t="s">
        <v>10</v>
      </c>
      <c r="D26" t="s">
        <v>11</v>
      </c>
      <c r="E26">
        <v>1</v>
      </c>
      <c r="F26">
        <v>12000</v>
      </c>
      <c r="G26" t="s">
        <v>15</v>
      </c>
      <c r="H26" t="s">
        <v>16</v>
      </c>
      <c r="I26">
        <v>12000</v>
      </c>
      <c r="J26" s="4">
        <v>45352</v>
      </c>
    </row>
    <row r="27" spans="1:10" x14ac:dyDescent="0.3">
      <c r="A27">
        <v>1027</v>
      </c>
      <c r="B27" s="4">
        <v>45365</v>
      </c>
      <c r="C27" t="s">
        <v>14</v>
      </c>
      <c r="D27" t="s">
        <v>11</v>
      </c>
      <c r="E27">
        <v>6</v>
      </c>
      <c r="F27">
        <v>8000</v>
      </c>
      <c r="G27" t="s">
        <v>18</v>
      </c>
      <c r="H27" t="s">
        <v>19</v>
      </c>
      <c r="I27">
        <v>48000</v>
      </c>
      <c r="J27" s="4">
        <v>45352</v>
      </c>
    </row>
    <row r="28" spans="1:10" x14ac:dyDescent="0.3">
      <c r="A28">
        <v>1028</v>
      </c>
      <c r="B28" s="4">
        <v>45367</v>
      </c>
      <c r="C28" t="s">
        <v>17</v>
      </c>
      <c r="D28" t="s">
        <v>11</v>
      </c>
      <c r="E28">
        <v>2</v>
      </c>
      <c r="F28">
        <v>6000</v>
      </c>
      <c r="G28" t="s">
        <v>22</v>
      </c>
      <c r="H28" t="s">
        <v>23</v>
      </c>
      <c r="I28">
        <v>12000</v>
      </c>
      <c r="J28" s="4">
        <v>45352</v>
      </c>
    </row>
    <row r="29" spans="1:10" x14ac:dyDescent="0.3">
      <c r="A29">
        <v>1029</v>
      </c>
      <c r="B29" s="4">
        <v>45369</v>
      </c>
      <c r="C29" t="s">
        <v>24</v>
      </c>
      <c r="D29" t="s">
        <v>21</v>
      </c>
      <c r="E29">
        <v>5</v>
      </c>
      <c r="F29">
        <v>1500</v>
      </c>
      <c r="G29" t="s">
        <v>12</v>
      </c>
      <c r="H29" t="s">
        <v>13</v>
      </c>
      <c r="I29">
        <v>7500</v>
      </c>
      <c r="J29" s="4">
        <v>45352</v>
      </c>
    </row>
    <row r="30" spans="1:10" x14ac:dyDescent="0.3">
      <c r="A30">
        <v>1030</v>
      </c>
      <c r="B30" s="4">
        <v>45371</v>
      </c>
      <c r="C30" t="s">
        <v>20</v>
      </c>
      <c r="D30" t="s">
        <v>21</v>
      </c>
      <c r="E30">
        <v>3</v>
      </c>
      <c r="F30">
        <v>3000</v>
      </c>
      <c r="G30" t="s">
        <v>15</v>
      </c>
      <c r="H30" t="s">
        <v>16</v>
      </c>
      <c r="I30">
        <v>9000</v>
      </c>
      <c r="J30" s="4">
        <v>45352</v>
      </c>
    </row>
    <row r="31" spans="1:10" x14ac:dyDescent="0.3">
      <c r="A31">
        <v>1031</v>
      </c>
      <c r="B31" s="4">
        <v>45373</v>
      </c>
      <c r="C31" t="s">
        <v>10</v>
      </c>
      <c r="D31" t="s">
        <v>11</v>
      </c>
      <c r="E31">
        <v>2</v>
      </c>
      <c r="F31">
        <v>12000</v>
      </c>
      <c r="G31" t="s">
        <v>18</v>
      </c>
      <c r="H31" t="s">
        <v>19</v>
      </c>
      <c r="I31">
        <v>24000</v>
      </c>
      <c r="J31" s="4">
        <v>45352</v>
      </c>
    </row>
    <row r="32" spans="1:10" x14ac:dyDescent="0.3">
      <c r="A32">
        <v>1032</v>
      </c>
      <c r="B32" s="4">
        <v>45375</v>
      </c>
      <c r="C32" t="s">
        <v>14</v>
      </c>
      <c r="D32" t="s">
        <v>11</v>
      </c>
      <c r="E32">
        <v>4</v>
      </c>
      <c r="F32">
        <v>8000</v>
      </c>
      <c r="G32" t="s">
        <v>22</v>
      </c>
      <c r="H32" t="s">
        <v>23</v>
      </c>
      <c r="I32">
        <v>32000</v>
      </c>
      <c r="J32" s="4">
        <v>45352</v>
      </c>
    </row>
    <row r="33" spans="1:10" x14ac:dyDescent="0.3">
      <c r="A33">
        <v>1033</v>
      </c>
      <c r="B33" s="4">
        <v>45377</v>
      </c>
      <c r="C33" t="s">
        <v>17</v>
      </c>
      <c r="D33" t="s">
        <v>11</v>
      </c>
      <c r="E33">
        <v>3</v>
      </c>
      <c r="F33">
        <v>6000</v>
      </c>
      <c r="G33" t="s">
        <v>12</v>
      </c>
      <c r="H33" t="s">
        <v>13</v>
      </c>
      <c r="I33">
        <v>18000</v>
      </c>
      <c r="J33" s="4">
        <v>45352</v>
      </c>
    </row>
    <row r="34" spans="1:10" x14ac:dyDescent="0.3">
      <c r="A34">
        <v>1034</v>
      </c>
      <c r="B34" s="4">
        <v>45379</v>
      </c>
      <c r="C34" t="s">
        <v>24</v>
      </c>
      <c r="D34" t="s">
        <v>21</v>
      </c>
      <c r="E34">
        <v>6</v>
      </c>
      <c r="F34">
        <v>1500</v>
      </c>
      <c r="G34" t="s">
        <v>15</v>
      </c>
      <c r="H34" t="s">
        <v>16</v>
      </c>
      <c r="I34">
        <v>9000</v>
      </c>
      <c r="J34" s="4">
        <v>45352</v>
      </c>
    </row>
    <row r="35" spans="1:10" x14ac:dyDescent="0.3">
      <c r="A35">
        <v>1035</v>
      </c>
      <c r="B35" s="4">
        <v>45381</v>
      </c>
      <c r="C35" t="s">
        <v>20</v>
      </c>
      <c r="D35" t="s">
        <v>21</v>
      </c>
      <c r="E35">
        <v>2</v>
      </c>
      <c r="F35">
        <v>3000</v>
      </c>
      <c r="G35" t="s">
        <v>18</v>
      </c>
      <c r="H35" t="s">
        <v>19</v>
      </c>
      <c r="I35">
        <v>6000</v>
      </c>
      <c r="J35" s="4">
        <v>45352</v>
      </c>
    </row>
    <row r="36" spans="1:10" x14ac:dyDescent="0.3">
      <c r="A36">
        <v>1036</v>
      </c>
      <c r="B36" s="4">
        <v>45384</v>
      </c>
      <c r="C36" t="s">
        <v>10</v>
      </c>
      <c r="D36" t="s">
        <v>11</v>
      </c>
      <c r="E36">
        <v>1</v>
      </c>
      <c r="F36">
        <v>12000</v>
      </c>
      <c r="G36" t="s">
        <v>22</v>
      </c>
      <c r="H36" t="s">
        <v>23</v>
      </c>
      <c r="I36">
        <v>12000</v>
      </c>
      <c r="J36" s="4">
        <v>45383</v>
      </c>
    </row>
    <row r="37" spans="1:10" x14ac:dyDescent="0.3">
      <c r="A37">
        <v>1037</v>
      </c>
      <c r="B37" s="4">
        <v>45386</v>
      </c>
      <c r="C37" t="s">
        <v>14</v>
      </c>
      <c r="D37" t="s">
        <v>11</v>
      </c>
      <c r="E37">
        <v>7</v>
      </c>
      <c r="F37">
        <v>8000</v>
      </c>
      <c r="G37" t="s">
        <v>12</v>
      </c>
      <c r="H37" t="s">
        <v>13</v>
      </c>
      <c r="I37">
        <v>56000</v>
      </c>
      <c r="J37" s="4">
        <v>45383</v>
      </c>
    </row>
    <row r="38" spans="1:10" x14ac:dyDescent="0.3">
      <c r="A38">
        <v>1038</v>
      </c>
      <c r="B38" s="4">
        <v>45388</v>
      </c>
      <c r="C38" t="s">
        <v>17</v>
      </c>
      <c r="D38" t="s">
        <v>11</v>
      </c>
      <c r="E38">
        <v>2</v>
      </c>
      <c r="F38">
        <v>6000</v>
      </c>
      <c r="G38" t="s">
        <v>15</v>
      </c>
      <c r="H38" t="s">
        <v>16</v>
      </c>
      <c r="I38">
        <v>12000</v>
      </c>
      <c r="J38" s="4">
        <v>45383</v>
      </c>
    </row>
    <row r="39" spans="1:10" x14ac:dyDescent="0.3">
      <c r="A39">
        <v>1039</v>
      </c>
      <c r="B39" s="4">
        <v>45390</v>
      </c>
      <c r="C39" t="s">
        <v>24</v>
      </c>
      <c r="D39" t="s">
        <v>21</v>
      </c>
      <c r="E39">
        <v>4</v>
      </c>
      <c r="F39">
        <v>1500</v>
      </c>
      <c r="G39" t="s">
        <v>18</v>
      </c>
      <c r="H39" t="s">
        <v>19</v>
      </c>
      <c r="I39">
        <v>6000</v>
      </c>
      <c r="J39" s="4">
        <v>45383</v>
      </c>
    </row>
    <row r="40" spans="1:10" x14ac:dyDescent="0.3">
      <c r="A40">
        <v>1040</v>
      </c>
      <c r="B40" s="4">
        <v>45392</v>
      </c>
      <c r="C40" t="s">
        <v>20</v>
      </c>
      <c r="D40" t="s">
        <v>21</v>
      </c>
      <c r="E40">
        <v>3</v>
      </c>
      <c r="F40">
        <v>3000</v>
      </c>
      <c r="G40" t="s">
        <v>22</v>
      </c>
      <c r="H40" t="s">
        <v>23</v>
      </c>
      <c r="I40">
        <v>9000</v>
      </c>
      <c r="J40" s="4">
        <v>45383</v>
      </c>
    </row>
    <row r="41" spans="1:10" x14ac:dyDescent="0.3">
      <c r="A41">
        <v>1041</v>
      </c>
      <c r="B41" s="4">
        <v>45394</v>
      </c>
      <c r="C41" t="s">
        <v>10</v>
      </c>
      <c r="D41" t="s">
        <v>11</v>
      </c>
      <c r="E41">
        <v>2</v>
      </c>
      <c r="F41">
        <v>12000</v>
      </c>
      <c r="G41" t="s">
        <v>12</v>
      </c>
      <c r="H41" t="s">
        <v>13</v>
      </c>
      <c r="I41">
        <v>24000</v>
      </c>
      <c r="J41" s="4">
        <v>45383</v>
      </c>
    </row>
    <row r="42" spans="1:10" x14ac:dyDescent="0.3">
      <c r="A42">
        <v>1042</v>
      </c>
      <c r="B42" s="4">
        <v>45396</v>
      </c>
      <c r="C42" t="s">
        <v>14</v>
      </c>
      <c r="D42" t="s">
        <v>11</v>
      </c>
      <c r="E42">
        <v>5</v>
      </c>
      <c r="F42">
        <v>8000</v>
      </c>
      <c r="G42" t="s">
        <v>15</v>
      </c>
      <c r="H42" t="s">
        <v>16</v>
      </c>
      <c r="I42">
        <v>40000</v>
      </c>
      <c r="J42" s="4">
        <v>45383</v>
      </c>
    </row>
    <row r="43" spans="1:10" x14ac:dyDescent="0.3">
      <c r="A43">
        <v>1043</v>
      </c>
      <c r="B43" s="4">
        <v>45398</v>
      </c>
      <c r="C43" t="s">
        <v>17</v>
      </c>
      <c r="D43" t="s">
        <v>11</v>
      </c>
      <c r="E43">
        <v>3</v>
      </c>
      <c r="F43">
        <v>6000</v>
      </c>
      <c r="G43" t="s">
        <v>18</v>
      </c>
      <c r="H43" t="s">
        <v>19</v>
      </c>
      <c r="I43">
        <v>18000</v>
      </c>
      <c r="J43" s="4">
        <v>45383</v>
      </c>
    </row>
    <row r="44" spans="1:10" x14ac:dyDescent="0.3">
      <c r="A44">
        <v>1045</v>
      </c>
      <c r="B44" s="4">
        <v>45402</v>
      </c>
      <c r="C44" t="s">
        <v>20</v>
      </c>
      <c r="D44" t="s">
        <v>21</v>
      </c>
      <c r="E44">
        <v>2</v>
      </c>
      <c r="F44">
        <v>3000</v>
      </c>
      <c r="G44" t="s">
        <v>12</v>
      </c>
      <c r="H44" t="s">
        <v>13</v>
      </c>
      <c r="I44">
        <v>6000</v>
      </c>
      <c r="J44" s="4">
        <v>45383</v>
      </c>
    </row>
    <row r="45" spans="1:10" x14ac:dyDescent="0.3">
      <c r="A45">
        <v>1046</v>
      </c>
      <c r="B45" s="4">
        <v>45404</v>
      </c>
      <c r="C45" t="s">
        <v>10</v>
      </c>
      <c r="D45" t="s">
        <v>11</v>
      </c>
      <c r="E45">
        <v>1</v>
      </c>
      <c r="F45">
        <v>12000</v>
      </c>
      <c r="G45" t="s">
        <v>15</v>
      </c>
      <c r="H45" t="s">
        <v>25</v>
      </c>
      <c r="I45">
        <v>12000</v>
      </c>
      <c r="J45" s="4">
        <v>45383</v>
      </c>
    </row>
    <row r="46" spans="1:10" x14ac:dyDescent="0.3">
      <c r="A46">
        <v>1047</v>
      </c>
      <c r="B46" s="4">
        <v>45406</v>
      </c>
      <c r="C46" t="s">
        <v>14</v>
      </c>
      <c r="D46" t="s">
        <v>11</v>
      </c>
      <c r="E46">
        <v>6</v>
      </c>
      <c r="F46">
        <v>8000</v>
      </c>
      <c r="G46" t="s">
        <v>18</v>
      </c>
      <c r="H46" t="s">
        <v>19</v>
      </c>
      <c r="I46">
        <v>48000</v>
      </c>
      <c r="J46" s="4">
        <v>45383</v>
      </c>
    </row>
    <row r="47" spans="1:10" x14ac:dyDescent="0.3">
      <c r="A47">
        <v>1048</v>
      </c>
      <c r="B47" s="4">
        <v>45408</v>
      </c>
      <c r="C47" t="s">
        <v>17</v>
      </c>
      <c r="D47" t="s">
        <v>11</v>
      </c>
      <c r="E47">
        <v>2</v>
      </c>
      <c r="F47">
        <v>6000</v>
      </c>
      <c r="G47" t="s">
        <v>22</v>
      </c>
      <c r="H47" t="s">
        <v>23</v>
      </c>
      <c r="I47">
        <v>12000</v>
      </c>
      <c r="J47" s="4">
        <v>45383</v>
      </c>
    </row>
    <row r="48" spans="1:10" x14ac:dyDescent="0.3">
      <c r="A48">
        <v>1049</v>
      </c>
      <c r="B48" s="4">
        <v>45410</v>
      </c>
      <c r="C48" t="s">
        <v>24</v>
      </c>
      <c r="D48" t="s">
        <v>21</v>
      </c>
      <c r="E48">
        <v>5</v>
      </c>
      <c r="F48">
        <v>1500</v>
      </c>
      <c r="G48" t="s">
        <v>12</v>
      </c>
      <c r="H48" t="s">
        <v>13</v>
      </c>
      <c r="I48">
        <v>7500</v>
      </c>
      <c r="J48" s="4">
        <v>45383</v>
      </c>
    </row>
    <row r="49" spans="1:10" x14ac:dyDescent="0.3">
      <c r="A49">
        <v>1050</v>
      </c>
      <c r="B49" s="4">
        <v>45412</v>
      </c>
      <c r="C49" t="s">
        <v>20</v>
      </c>
      <c r="D49" t="s">
        <v>21</v>
      </c>
      <c r="E49">
        <v>3</v>
      </c>
      <c r="F49">
        <v>3000</v>
      </c>
      <c r="G49" t="s">
        <v>15</v>
      </c>
      <c r="H49" t="s">
        <v>16</v>
      </c>
      <c r="I49">
        <v>9000</v>
      </c>
      <c r="J49" s="4">
        <v>45383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D743A-8513-455B-83F4-D866E93A6E9D}">
  <dimension ref="A1:G73"/>
  <sheetViews>
    <sheetView tabSelected="1" zoomScale="86" workbookViewId="0">
      <selection activeCell="M73" sqref="M73"/>
    </sheetView>
  </sheetViews>
  <sheetFormatPr defaultRowHeight="14.4" x14ac:dyDescent="0.3"/>
  <cols>
    <col min="1" max="1" width="13.33203125" bestFit="1" customWidth="1"/>
    <col min="2" max="2" width="15" bestFit="1" customWidth="1"/>
    <col min="3" max="5" width="7.109375" bestFit="1" customWidth="1"/>
    <col min="6" max="6" width="12.88671875" bestFit="1" customWidth="1"/>
    <col min="7" max="7" width="11.33203125" bestFit="1" customWidth="1"/>
    <col min="8" max="8" width="16.5546875" bestFit="1" customWidth="1"/>
    <col min="9" max="9" width="9.21875" bestFit="1" customWidth="1"/>
    <col min="10" max="10" width="10.88671875" bestFit="1" customWidth="1"/>
  </cols>
  <sheetData>
    <row r="1" spans="1:6" x14ac:dyDescent="0.3">
      <c r="A1" s="1" t="s">
        <v>26</v>
      </c>
      <c r="B1" t="s">
        <v>28</v>
      </c>
      <c r="F1" s="5" t="s">
        <v>37</v>
      </c>
    </row>
    <row r="2" spans="1:6" x14ac:dyDescent="0.3">
      <c r="A2" s="2" t="s">
        <v>18</v>
      </c>
      <c r="B2" s="7">
        <v>270000</v>
      </c>
    </row>
    <row r="3" spans="1:6" x14ac:dyDescent="0.3">
      <c r="A3" s="2" t="s">
        <v>12</v>
      </c>
      <c r="B3" s="7">
        <v>260500</v>
      </c>
      <c r="F3" s="5" t="s">
        <v>34</v>
      </c>
    </row>
    <row r="4" spans="1:6" x14ac:dyDescent="0.3">
      <c r="A4" s="2" t="s">
        <v>15</v>
      </c>
      <c r="B4" s="7">
        <v>225000</v>
      </c>
      <c r="F4" s="6">
        <f>SUM('clean_sales'!I2:I49)</f>
        <v>903500</v>
      </c>
    </row>
    <row r="5" spans="1:6" x14ac:dyDescent="0.3">
      <c r="A5" s="2" t="s">
        <v>22</v>
      </c>
      <c r="B5" s="7">
        <v>148000</v>
      </c>
    </row>
    <row r="6" spans="1:6" x14ac:dyDescent="0.3">
      <c r="A6" s="2" t="s">
        <v>27</v>
      </c>
      <c r="B6" s="7">
        <v>903500</v>
      </c>
      <c r="F6" s="5" t="s">
        <v>35</v>
      </c>
    </row>
    <row r="7" spans="1:6" x14ac:dyDescent="0.3">
      <c r="F7">
        <f>SUM('clean_sales'!E2:E49)</f>
        <v>159</v>
      </c>
    </row>
    <row r="9" spans="1:6" x14ac:dyDescent="0.3">
      <c r="F9" s="5" t="s">
        <v>36</v>
      </c>
    </row>
    <row r="10" spans="1:6" x14ac:dyDescent="0.3">
      <c r="A10" s="1" t="s">
        <v>26</v>
      </c>
      <c r="B10" t="s">
        <v>28</v>
      </c>
      <c r="F10" t="str">
        <f>INDEX('clean_sales'!G2:G49, MATCH(MAX('clean_sales'!I2:I49), 'clean_sales'!I2:I49, 0))</f>
        <v>North</v>
      </c>
    </row>
    <row r="11" spans="1:6" x14ac:dyDescent="0.3">
      <c r="A11" s="2" t="s">
        <v>24</v>
      </c>
      <c r="B11" s="7">
        <v>58500</v>
      </c>
    </row>
    <row r="12" spans="1:6" x14ac:dyDescent="0.3">
      <c r="A12" s="2" t="s">
        <v>20</v>
      </c>
      <c r="B12" s="7">
        <v>75000</v>
      </c>
      <c r="F12" s="5" t="s">
        <v>38</v>
      </c>
    </row>
    <row r="13" spans="1:6" x14ac:dyDescent="0.3">
      <c r="A13" s="2" t="s">
        <v>10</v>
      </c>
      <c r="B13" s="7">
        <v>180000</v>
      </c>
      <c r="F13" t="str">
        <f>INDEX('clean_sales'!C2:C49, MATCH(MAX('clean_sales'!I2:I49), 'clean_sales'!I2:I49, 0))</f>
        <v>Phone</v>
      </c>
    </row>
    <row r="14" spans="1:6" x14ac:dyDescent="0.3">
      <c r="A14" s="2" t="s">
        <v>14</v>
      </c>
      <c r="B14" s="7">
        <v>440000</v>
      </c>
    </row>
    <row r="15" spans="1:6" x14ac:dyDescent="0.3">
      <c r="A15" s="2" t="s">
        <v>17</v>
      </c>
      <c r="B15" s="7">
        <v>150000</v>
      </c>
    </row>
    <row r="16" spans="1:6" x14ac:dyDescent="0.3">
      <c r="A16" s="2" t="s">
        <v>27</v>
      </c>
      <c r="B16" s="7">
        <v>903500</v>
      </c>
    </row>
    <row r="20" spans="1:2" x14ac:dyDescent="0.3">
      <c r="A20" s="1" t="s">
        <v>26</v>
      </c>
      <c r="B20" t="s">
        <v>28</v>
      </c>
    </row>
    <row r="21" spans="1:2" x14ac:dyDescent="0.3">
      <c r="A21" s="2" t="s">
        <v>30</v>
      </c>
      <c r="B21" s="7">
        <v>160000</v>
      </c>
    </row>
    <row r="22" spans="1:2" x14ac:dyDescent="0.3">
      <c r="A22" s="2" t="s">
        <v>31</v>
      </c>
      <c r="B22" s="7">
        <v>200500</v>
      </c>
    </row>
    <row r="23" spans="1:2" x14ac:dyDescent="0.3">
      <c r="A23" s="2" t="s">
        <v>32</v>
      </c>
      <c r="B23" s="7">
        <v>271500</v>
      </c>
    </row>
    <row r="24" spans="1:2" x14ac:dyDescent="0.3">
      <c r="A24" s="2" t="s">
        <v>33</v>
      </c>
      <c r="B24" s="7">
        <v>271500</v>
      </c>
    </row>
    <row r="25" spans="1:2" x14ac:dyDescent="0.3">
      <c r="A25" s="2" t="s">
        <v>27</v>
      </c>
      <c r="B25" s="7">
        <v>903500</v>
      </c>
    </row>
    <row r="29" spans="1:2" x14ac:dyDescent="0.3">
      <c r="A29" s="1" t="s">
        <v>26</v>
      </c>
      <c r="B29" t="s">
        <v>28</v>
      </c>
    </row>
    <row r="30" spans="1:2" x14ac:dyDescent="0.3">
      <c r="A30" s="2" t="s">
        <v>19</v>
      </c>
      <c r="B30" s="7">
        <v>270000</v>
      </c>
    </row>
    <row r="31" spans="1:2" x14ac:dyDescent="0.3">
      <c r="A31" s="2" t="s">
        <v>13</v>
      </c>
      <c r="B31" s="7">
        <v>260500</v>
      </c>
    </row>
    <row r="32" spans="1:2" x14ac:dyDescent="0.3">
      <c r="A32" s="2" t="s">
        <v>16</v>
      </c>
      <c r="B32" s="7">
        <v>204000</v>
      </c>
    </row>
    <row r="33" spans="1:2" x14ac:dyDescent="0.3">
      <c r="A33" s="2" t="s">
        <v>23</v>
      </c>
      <c r="B33" s="7">
        <v>148000</v>
      </c>
    </row>
    <row r="34" spans="1:2" x14ac:dyDescent="0.3">
      <c r="A34" s="2" t="s">
        <v>25</v>
      </c>
      <c r="B34" s="7">
        <v>21000</v>
      </c>
    </row>
    <row r="35" spans="1:2" x14ac:dyDescent="0.3">
      <c r="A35" s="2" t="s">
        <v>27</v>
      </c>
      <c r="B35" s="7">
        <v>903500</v>
      </c>
    </row>
    <row r="39" spans="1:2" x14ac:dyDescent="0.3">
      <c r="A39" s="1" t="s">
        <v>26</v>
      </c>
      <c r="B39" t="s">
        <v>28</v>
      </c>
    </row>
    <row r="40" spans="1:2" x14ac:dyDescent="0.3">
      <c r="A40" s="2" t="s">
        <v>24</v>
      </c>
      <c r="B40" s="7">
        <v>58500</v>
      </c>
    </row>
    <row r="41" spans="1:2" x14ac:dyDescent="0.3">
      <c r="A41" s="3" t="s">
        <v>21</v>
      </c>
      <c r="B41" s="7">
        <v>58500</v>
      </c>
    </row>
    <row r="42" spans="1:2" x14ac:dyDescent="0.3">
      <c r="A42" s="2" t="s">
        <v>20</v>
      </c>
      <c r="B42" s="7">
        <v>75000</v>
      </c>
    </row>
    <row r="43" spans="1:2" x14ac:dyDescent="0.3">
      <c r="A43" s="3" t="s">
        <v>21</v>
      </c>
      <c r="B43" s="7">
        <v>75000</v>
      </c>
    </row>
    <row r="44" spans="1:2" x14ac:dyDescent="0.3">
      <c r="A44" s="2" t="s">
        <v>10</v>
      </c>
      <c r="B44" s="7">
        <v>180000</v>
      </c>
    </row>
    <row r="45" spans="1:2" x14ac:dyDescent="0.3">
      <c r="A45" s="3" t="s">
        <v>11</v>
      </c>
      <c r="B45" s="7">
        <v>180000</v>
      </c>
    </row>
    <row r="46" spans="1:2" x14ac:dyDescent="0.3">
      <c r="A46" s="2" t="s">
        <v>14</v>
      </c>
      <c r="B46" s="7">
        <v>440000</v>
      </c>
    </row>
    <row r="47" spans="1:2" x14ac:dyDescent="0.3">
      <c r="A47" s="3" t="s">
        <v>11</v>
      </c>
      <c r="B47" s="7">
        <v>440000</v>
      </c>
    </row>
    <row r="48" spans="1:2" x14ac:dyDescent="0.3">
      <c r="A48" s="2" t="s">
        <v>17</v>
      </c>
      <c r="B48" s="7">
        <v>150000</v>
      </c>
    </row>
    <row r="49" spans="1:7" x14ac:dyDescent="0.3">
      <c r="A49" s="3" t="s">
        <v>11</v>
      </c>
      <c r="B49" s="7">
        <v>150000</v>
      </c>
    </row>
    <row r="50" spans="1:7" x14ac:dyDescent="0.3">
      <c r="A50" s="2" t="s">
        <v>27</v>
      </c>
      <c r="B50" s="7">
        <v>903500</v>
      </c>
    </row>
    <row r="54" spans="1:7" x14ac:dyDescent="0.3">
      <c r="A54" s="1" t="s">
        <v>28</v>
      </c>
      <c r="B54" s="1" t="s">
        <v>29</v>
      </c>
    </row>
    <row r="55" spans="1:7" x14ac:dyDescent="0.3">
      <c r="A55" s="1" t="s">
        <v>26</v>
      </c>
      <c r="B55" t="s">
        <v>24</v>
      </c>
      <c r="C55" t="s">
        <v>20</v>
      </c>
      <c r="D55" t="s">
        <v>10</v>
      </c>
      <c r="E55" t="s">
        <v>14</v>
      </c>
      <c r="F55" t="s">
        <v>17</v>
      </c>
      <c r="G55" t="s">
        <v>27</v>
      </c>
    </row>
    <row r="56" spans="1:7" x14ac:dyDescent="0.3">
      <c r="A56" s="2" t="s">
        <v>30</v>
      </c>
      <c r="B56" s="7"/>
      <c r="C56" s="7">
        <v>6000</v>
      </c>
      <c r="D56" s="7">
        <v>36000</v>
      </c>
      <c r="E56" s="7">
        <v>88000</v>
      </c>
      <c r="F56" s="7">
        <v>30000</v>
      </c>
      <c r="G56" s="7">
        <v>160000</v>
      </c>
    </row>
    <row r="57" spans="1:7" x14ac:dyDescent="0.3">
      <c r="A57" s="2" t="s">
        <v>31</v>
      </c>
      <c r="B57" s="7">
        <v>22500</v>
      </c>
      <c r="C57" s="7">
        <v>24000</v>
      </c>
      <c r="D57" s="7">
        <v>36000</v>
      </c>
      <c r="E57" s="7">
        <v>88000</v>
      </c>
      <c r="F57" s="7">
        <v>30000</v>
      </c>
      <c r="G57" s="7">
        <v>200500</v>
      </c>
    </row>
    <row r="58" spans="1:7" x14ac:dyDescent="0.3">
      <c r="A58" s="2" t="s">
        <v>32</v>
      </c>
      <c r="B58" s="7">
        <v>22500</v>
      </c>
      <c r="C58" s="7">
        <v>21000</v>
      </c>
      <c r="D58" s="7">
        <v>60000</v>
      </c>
      <c r="E58" s="7">
        <v>120000</v>
      </c>
      <c r="F58" s="7">
        <v>48000</v>
      </c>
      <c r="G58" s="7">
        <v>271500</v>
      </c>
    </row>
    <row r="59" spans="1:7" x14ac:dyDescent="0.3">
      <c r="A59" s="2" t="s">
        <v>33</v>
      </c>
      <c r="B59" s="7">
        <v>13500</v>
      </c>
      <c r="C59" s="7">
        <v>24000</v>
      </c>
      <c r="D59" s="7">
        <v>48000</v>
      </c>
      <c r="E59" s="7">
        <v>144000</v>
      </c>
      <c r="F59" s="7">
        <v>42000</v>
      </c>
      <c r="G59" s="7">
        <v>271500</v>
      </c>
    </row>
    <row r="60" spans="1:7" x14ac:dyDescent="0.3">
      <c r="A60" s="2" t="s">
        <v>27</v>
      </c>
      <c r="B60" s="7">
        <v>58500</v>
      </c>
      <c r="C60" s="7">
        <v>75000</v>
      </c>
      <c r="D60" s="7">
        <v>180000</v>
      </c>
      <c r="E60" s="7">
        <v>440000</v>
      </c>
      <c r="F60" s="7">
        <v>150000</v>
      </c>
      <c r="G60" s="7">
        <v>903500</v>
      </c>
    </row>
    <row r="64" spans="1:7" x14ac:dyDescent="0.3">
      <c r="A64" s="1" t="s">
        <v>28</v>
      </c>
      <c r="B64" s="1" t="s">
        <v>29</v>
      </c>
    </row>
    <row r="65" spans="1:6" x14ac:dyDescent="0.3">
      <c r="B65" t="s">
        <v>30</v>
      </c>
      <c r="C65" t="s">
        <v>31</v>
      </c>
      <c r="D65" t="s">
        <v>32</v>
      </c>
      <c r="E65" t="s">
        <v>33</v>
      </c>
      <c r="F65" t="s">
        <v>27</v>
      </c>
    </row>
    <row r="67" spans="1:6" x14ac:dyDescent="0.3">
      <c r="A67" s="1" t="s">
        <v>26</v>
      </c>
    </row>
    <row r="68" spans="1:6" x14ac:dyDescent="0.3">
      <c r="A68" s="2" t="s">
        <v>19</v>
      </c>
      <c r="B68" s="7">
        <v>66000</v>
      </c>
      <c r="C68" s="7">
        <v>36000</v>
      </c>
      <c r="D68" s="7">
        <v>96000</v>
      </c>
      <c r="E68" s="7">
        <v>72000</v>
      </c>
      <c r="F68" s="7">
        <v>270000</v>
      </c>
    </row>
    <row r="69" spans="1:6" x14ac:dyDescent="0.3">
      <c r="A69" s="2" t="s">
        <v>13</v>
      </c>
      <c r="B69" s="7">
        <v>30000</v>
      </c>
      <c r="C69" s="7">
        <v>81500</v>
      </c>
      <c r="D69" s="7">
        <v>55500</v>
      </c>
      <c r="E69" s="7">
        <v>93500</v>
      </c>
      <c r="F69" s="7">
        <v>260500</v>
      </c>
    </row>
    <row r="70" spans="1:6" x14ac:dyDescent="0.3">
      <c r="A70" s="2" t="s">
        <v>16</v>
      </c>
      <c r="B70" s="7">
        <v>52000</v>
      </c>
      <c r="C70" s="7">
        <v>21000</v>
      </c>
      <c r="D70" s="7">
        <v>70000</v>
      </c>
      <c r="E70" s="7">
        <v>61000</v>
      </c>
      <c r="F70" s="7">
        <v>204000</v>
      </c>
    </row>
    <row r="71" spans="1:6" x14ac:dyDescent="0.3">
      <c r="A71" s="2" t="s">
        <v>23</v>
      </c>
      <c r="B71" s="7">
        <v>12000</v>
      </c>
      <c r="C71" s="7">
        <v>53000</v>
      </c>
      <c r="D71" s="7">
        <v>50000</v>
      </c>
      <c r="E71" s="7">
        <v>33000</v>
      </c>
      <c r="F71" s="7">
        <v>148000</v>
      </c>
    </row>
    <row r="72" spans="1:6" x14ac:dyDescent="0.3">
      <c r="A72" s="2" t="s">
        <v>25</v>
      </c>
      <c r="B72" s="7"/>
      <c r="C72" s="7">
        <v>9000</v>
      </c>
      <c r="D72" s="7"/>
      <c r="E72" s="7">
        <v>12000</v>
      </c>
      <c r="F72" s="7">
        <v>21000</v>
      </c>
    </row>
    <row r="73" spans="1:6" x14ac:dyDescent="0.3">
      <c r="A73" s="2" t="s">
        <v>27</v>
      </c>
      <c r="B73" s="7">
        <v>160000</v>
      </c>
      <c r="C73" s="7">
        <v>200500</v>
      </c>
      <c r="D73" s="7">
        <v>271500</v>
      </c>
      <c r="E73" s="7">
        <v>271500</v>
      </c>
      <c r="F73" s="7">
        <v>903500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5186C-5331-4579-84EF-751413196B48}">
  <sheetPr>
    <pageSetUpPr fitToPage="1"/>
  </sheetPr>
  <dimension ref="A1"/>
  <sheetViews>
    <sheetView showGridLines="0" showRowColHeaders="0" topLeftCell="A3" zoomScale="60" zoomScaleNormal="60" zoomScaleSheetLayoutView="41" workbookViewId="0">
      <selection activeCell="AD46" sqref="AD46"/>
    </sheetView>
  </sheetViews>
  <sheetFormatPr defaultRowHeight="14.4" x14ac:dyDescent="0.3"/>
  <sheetData/>
  <pageMargins left="0.7" right="0.7" top="0.75" bottom="0.75" header="0.3" footer="0.3"/>
  <pageSetup paperSize="9" scale="39" orientation="landscape"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A391EA5-9463-4742-9594-2320D611547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clean_sales</vt:lpstr>
      <vt:lpstr>Pivot_Tables</vt:lpstr>
      <vt:lpstr>Dashboard</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Rushil Jivan</cp:lastModifiedBy>
  <cp:lastPrinted>2026-04-16T10:20:39Z</cp:lastPrinted>
  <dcterms:created xsi:type="dcterms:W3CDTF">2026-04-15T13:47:20Z</dcterms:created>
  <dcterms:modified xsi:type="dcterms:W3CDTF">2026-04-20T13:05:54Z</dcterms:modified>
</cp:coreProperties>
</file>