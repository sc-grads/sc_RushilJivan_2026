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8F8723CD-5E54-4231-A5E4-956AFAE8B286}"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Dashboard!$A$1:$AK$49</definedName>
    <definedName name="Slicer_category">#N/A</definedName>
    <definedName name="Slicer_product">#N/A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<sst xmlns="http://schemas.openxmlformats.org/spreadsheetml/2006/main" count="278" uniqueCount="39">
  <si>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</si>
  <si>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</si>
  <si>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</si>
  <si>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</si>
  <si>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</si>
  <si>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</si>
  <si>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</si>
  <si>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</si>
  <si>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</si>
  <si>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</si>
  <si>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</si>
  <si>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</si>
  <si>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</si>
  <si>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</si>
  <si>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</si>
  <si>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</si>
  <si>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</si>
  <si>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</si>
  <si>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</si>
  <si>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</si>
  <si>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</si>
  <si>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</si>
  <si>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</si>
  <si>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</si>
  <si>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</si>
  <si>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Unknown</t>
  </si>
  <si>
    <t>Row Labels</t>
  </si>
  <si>
    <t>Grand Total</t>
  </si>
  <si>
    <t>Sum of revenue</t>
  </si>
  <si>
    <t>Column Labels</t>
  </si>
  <si>
    <t>Jan</t>
  </si>
  <si>
    <t>Feb</t>
  </si>
  <si>
    <t>Mar</t>
  </si>
  <si>
    <t>Apr</t>
  </si>
  <si>
    <t>Total Revenue</t>
  </si>
  <si>
    <t>Total Quantity</t>
  </si>
  <si>
    <t>Top Region</t>
  </si>
  <si>
    <t>KPI's</t>
  </si>
  <si>
    <t>Top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</si>
</sst>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pivotFmt>
      <c:pivotFmt>
        <c:idx val="6"/>
        <c:spPr>
          <a:solidFill>
            <a:schemeClr val="accent5"/>
          </a:solidFill>
          <a:ln>
            <a:noFill/>
          </a:ln>
          <a:effectLst/>
        </c:spPr>
        <c:marker>
          <c:symbol val="none"/>
        </c:marker>
      </c:pivotFmt>
      <c:pivotFmt>
        <c:idx val="7"/>
        <c:spPr>
          <a:solidFill>
            <a:schemeClr val="accent5"/>
          </a:solidFill>
          <a:ln>
            <a:noFill/>
          </a:ln>
          <a:effectLst/>
        </c:spPr>
        <c:marker>
          <c:symbol val="none"/>
        </c:marker>
      </c:pivotFmt>
      <c:pivotFmt>
        <c:idx val="8"/>
        <c:spPr>
          <a:solidFill>
            <a:schemeClr val="accent5"/>
          </a:solidFill>
          <a:ln>
            <a:noFill/>
          </a:ln>
          <a:effectLst/>
        </c:spPr>
        <c:marker>
          <c:symbol val="none"/>
        </c:marker>
      </c:pivotFmt>
      <c:pivotFmt>
        <c:idx val="9"/>
        <c:spPr>
          <a:solidFill>
            <a:schemeClr val="accent5"/>
          </a:solidFill>
          <a:ln>
            <a:noFill/>
          </a:ln>
          <a:effectLst/>
        </c:spPr>
        <c:marker>
          <c:symbol val="none"/>
        </c:marker>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Pivot_Tables!$B$54:$B$55</c:f>
              <c:strCache>
                <c:ptCount val="1"/>
                <c:pt idx="0">
                  <c:v>Chair</c:v>
                </c:pt>
              </c:strCache>
            </c:strRef>
          </c:tx>
          <c:spPr>
            <a:solidFill>
              <a:schemeClr val="accent5">
                <a:tint val="54000"/>
              </a:schemeClr>
            </a:solidFill>
            <a:ln>
              <a:noFill/>
            </a:ln>
            <a:effectLst/>
          </c:spPr>
          <c:invertIfNegative val="0"/>
          <c:cat>
            <c:strRef>
              <c:f>Pivot_Tables!$A$56:$A$60</c:f>
              <c:strCache>
                <c:ptCount val="4"/>
                <c:pt idx="0">
                  <c:v>Jan</c:v>
                </c:pt>
                <c:pt idx="1">
                  <c:v>Feb</c:v>
                </c:pt>
                <c:pt idx="2">
                  <c:v>Mar</c:v>
                </c:pt>
                <c:pt idx="3">
                  <c:v>Apr</c:v>
                </c:pt>
              </c:strCache>
            </c:strRef>
          </c:cat>
          <c:val>
            <c:numRef>
              <c:f>Pivot_Tables!$B$56:$B$60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Pivot_Tables!$C$54:$C$55</c:f>
              <c:strCache>
                <c:ptCount val="1"/>
                <c:pt idx="0">
                  <c:v>Desk</c:v>
                </c:pt>
              </c:strCache>
            </c:strRef>
          </c:tx>
          <c:spPr>
            <a:solidFill>
              <a:schemeClr val="accent5">
                <a:tint val="77000"/>
              </a:schemeClr>
            </a:solidFill>
            <a:ln>
              <a:noFill/>
            </a:ln>
            <a:effectLst/>
          </c:spPr>
          <c:invertIfNegative val="0"/>
          <c:cat>
            <c:strRef>
              <c:f>Pivot_Tables!$A$56:$A$60</c:f>
              <c:strCache>
                <c:ptCount val="4"/>
                <c:pt idx="0">
                  <c:v>Jan</c:v>
                </c:pt>
                <c:pt idx="1">
                  <c:v>Feb</c:v>
                </c:pt>
                <c:pt idx="2">
                  <c:v>Mar</c:v>
                </c:pt>
                <c:pt idx="3">
                  <c:v>Apr</c:v>
                </c:pt>
              </c:strCache>
            </c:strRef>
          </c:cat>
          <c:val>
            <c:numRef>
              <c:f>Pivot_Tables!$C$56:$C$60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13-562A-4153-A0B4-C37AEFF8267D}"/>
            </c:ext>
          </c:extLst>
        </c:ser>
        <c:ser>
          <c:idx val="2"/>
          <c:order val="2"/>
          <c:tx>
            <c:strRef>
              <c:f>Pivot_Tables!$D$54:$D$55</c:f>
              <c:strCache>
                <c:ptCount val="1"/>
                <c:pt idx="0">
                  <c:v>Laptop</c:v>
                </c:pt>
              </c:strCache>
            </c:strRef>
          </c:tx>
          <c:spPr>
            <a:solidFill>
              <a:schemeClr val="accent5"/>
            </a:solidFill>
            <a:ln>
              <a:noFill/>
            </a:ln>
            <a:effectLst/>
          </c:spPr>
          <c:invertIfNegative val="0"/>
          <c:cat>
            <c:strRef>
              <c:f>Pivot_Tables!$A$56:$A$60</c:f>
              <c:strCache>
                <c:ptCount val="4"/>
                <c:pt idx="0">
                  <c:v>Jan</c:v>
                </c:pt>
                <c:pt idx="1">
                  <c:v>Feb</c:v>
                </c:pt>
                <c:pt idx="2">
                  <c:v>Mar</c:v>
                </c:pt>
                <c:pt idx="3">
                  <c:v>Apr</c:v>
                </c:pt>
              </c:strCache>
            </c:strRef>
          </c:cat>
          <c:val>
            <c:numRef>
              <c:f>Pivot_Tables!$D$56:$D$60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01-B0B2-4298-825C-1ED712429386}"/>
            </c:ext>
          </c:extLst>
        </c:ser>
        <c:ser>
          <c:idx val="3"/>
          <c:order val="3"/>
          <c:tx>
            <c:strRef>
              <c:f>Pivot_Tables!$E$54:$E$55</c:f>
              <c:strCache>
                <c:ptCount val="1"/>
                <c:pt idx="0">
                  <c:v>Phone</c:v>
                </c:pt>
              </c:strCache>
            </c:strRef>
          </c:tx>
          <c:spPr>
            <a:solidFill>
              <a:schemeClr val="accent5">
                <a:shade val="76000"/>
              </a:schemeClr>
            </a:solidFill>
            <a:ln>
              <a:noFill/>
            </a:ln>
            <a:effectLst/>
          </c:spPr>
          <c:invertIfNegative val="0"/>
          <c:cat>
            <c:strRef>
              <c:f>Pivot_Tables!$A$56:$A$60</c:f>
              <c:strCache>
                <c:ptCount val="4"/>
                <c:pt idx="0">
                  <c:v>Jan</c:v>
                </c:pt>
                <c:pt idx="1">
                  <c:v>Feb</c:v>
                </c:pt>
                <c:pt idx="2">
                  <c:v>Mar</c:v>
                </c:pt>
                <c:pt idx="3">
                  <c:v>Apr</c:v>
                </c:pt>
              </c:strCache>
            </c:strRef>
          </c:cat>
          <c:val>
            <c:numRef>
              <c:f>Pivot_Tables!$E$56:$E$60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02-B0B2-4298-825C-1ED712429386}"/>
            </c:ext>
          </c:extLst>
        </c:ser>
        <c:ser>
          <c:idx val="4"/>
          <c:order val="4"/>
          <c:tx>
            <c:strRef>
              <c:f>Pivot_Tables!$F$54:$F$55</c:f>
              <c:strCache>
                <c:ptCount val="1"/>
                <c:pt idx="0">
                  <c:v>Tablet</c:v>
                </c:pt>
              </c:strCache>
            </c:strRef>
          </c:tx>
          <c:spPr>
            <a:solidFill>
              <a:schemeClr val="accent5">
                <a:shade val="53000"/>
              </a:schemeClr>
            </a:solidFill>
            <a:ln>
              <a:noFill/>
            </a:ln>
            <a:effectLst/>
          </c:spPr>
          <c:invertIfNegative val="0"/>
          <c:cat>
            <c:strRef>
              <c:f>Pivot_Tables!$A$56:$A$60</c:f>
              <c:strCache>
                <c:ptCount val="4"/>
                <c:pt idx="0">
                  <c:v>Jan</c:v>
                </c:pt>
                <c:pt idx="1">
                  <c:v>Feb</c:v>
                </c:pt>
                <c:pt idx="2">
                  <c:v>Mar</c:v>
                </c:pt>
                <c:pt idx="3">
                  <c:v>Apr</c:v>
                </c:pt>
              </c:strCache>
            </c:strRef>
          </c:cat>
          <c:val>
            <c:numRef>
              <c:f>Pivot_Tables!$F$56:$F$60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03-B0B2-4298-825C-1ED712429386}"/>
            </c:ext>
          </c:extLst>
        </c:ser>
        <c:dLbls>
          <c:dLblPos val="ctr"/>
          <c:showLegendKey val="0"/>
          <c:showVal val="0"/>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[Dashboard.xlsx]Pivot_Tables!Salesperson Performance Monthly</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4.0018518518518627E-2"/>
              <c:y val="-3.965738537226031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7414279058933147E-2"/>
              <c:y val="-4.999606533177394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6.516410435592826E-2"/>
              <c:y val="1.89284677316502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5.777243944302253E-2"/>
              <c:y val="-4.554206109291683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4455974842767296E-2"/>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Pivot_Tables!$B$64:$B$67</c:f>
              <c:strCache>
                <c:ptCount val="1"/>
                <c:pt idx="0">
                  <c:v>Jan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Pivot_Tables!$B$68:$B$73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Pivot_Tables!$C$64:$C$67</c:f>
              <c:strCache>
                <c:ptCount val="1"/>
                <c:pt idx="0">
                  <c:v>Feb</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chemeClr val="accent3"/>
                </a:solidFill>
                <a:round/>
              </a:ln>
              <a:effectLst/>
            </c:spPr>
            <c:extLst>
              <c:ext xmlns:c16="http://schemas.microsoft.com/office/drawing/2014/chart" uri="{C3380CC4-5D6E-409C-BE32-E72D297353CC}">
                <c16:uniqueId val="{00000001-7AC4-4134-A207-B0C313224BA4}"/>
              </c:ext>
            </c:extLst>
          </c:dPt>
          <c:dLbls>
            <c:dLbl>
              <c:idx val="3"/>
              <c:layout>
                <c:manualLayout>
                  <c:x val="-4.0018518518518627E-2"/>
                  <c:y val="-3.96573853722603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C4-4134-A207-B0C313224BA4}"/>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Pivot_Tables!$C$68:$C$73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19-003A-41D6-8068-37B4B9DA0532}"/>
            </c:ext>
          </c:extLst>
        </c:ser>
        <c:ser>
          <c:idx val="2"/>
          <c:order val="2"/>
          <c:tx>
            <c:strRef>
              <c:f>Pivot_Tables!$D$64:$D$67</c:f>
              <c:strCache>
                <c:ptCount val="1"/>
                <c:pt idx="0">
                  <c:v>Mar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Pt>
            <c:idx val="0"/>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Pt>
            <c:idx val="2"/>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4.7414279058933147E-2"/>
                  <c:y val="-4.9996065331773941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Pivot_Tables!$D$68:$D$73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0F-AAEE-4E8A-BEC2-1BF2200785A1}"/>
            </c:ext>
          </c:extLst>
        </c:ser>
        <c:ser>
          <c:idx val="3"/>
          <c:order val="3"/>
          <c:tx>
            <c:strRef>
              <c:f>Pivot_Tables!$E$64:$E$67</c:f>
              <c:strCache>
                <c:ptCount val="1"/>
                <c:pt idx="0">
                  <c:v>Apr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Pt>
            <c:idx val="0"/>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1"/>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2"/>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4"/>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Lbls>
            <c:dLbl>
              <c:idx val="0"/>
              <c:layout>
                <c:manualLayout>
                  <c:x val="-5.777243944302253E-2"/>
                  <c:y val="-4.5542061092916836E-2"/>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4.4455974842767296E-2"/>
                  <c:y val="-4.6549838678602733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6.516410435592826E-2"/>
                  <c:y val="1.89284677316502E-2"/>
                </c:manualLayout>
              </c:layout>
              <c:dLblPos val="r"/>
              <c:showLegendKey val="0"/>
              <c:showVal val="1"/>
              <c:showCatName val="0"/>
              <c:showSerName val="0"/>
              <c:showPercent val="0"/>
              <c:showBubbleSize val="0"/>
              <c:extLst>
                <c:ext xmlns:c15="http://schemas.microsoft.com/office/drawing/2012/chart" uri="{CE6537A1-D6FC-4f65-9D91-7224C49458BB}"/>
              </c:extLst>
            </c:dLbl>
            <c:dLbl>
              <c:idx val="4"/>
              <c:layout>
                <c:manualLayout>
                  <c:x val="-4.1497670626601445E-2"/>
                  <c:y val="-5.3442291984945274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Pivot_Tables!$E$68:$E$73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0-AAEE-4E8A-BEC2-1BF2200785A1}"/>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Pivot_Tables!$A$40:$A$50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Pivot_Tables!$B$40:$B$50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22413</xdr:colOff>
      <xdr:row>0</xdr:row>
      <xdr:rowOff>22412</xdr:rowOff>
    </xdr:from>
    <xdr:to>
      <xdr:col>37</xdr:col>
      <xdr:colOff>14941</xdr:colOff>
      <xdr:row>3</xdr:row>
      <xdr:rowOff>22412</xdr:rowOff>
    </xdr:to>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658293" cy="537882"/>
        </a:xfrm>
        <a:prstGeom prst="rect">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Analysis Dashboard</a:t>
          </a:r>
          <a:endParaRPr lang="en-ZA" sz="2800" b="1" u="none">
            <a:solidFill>
              <a:schemeClr val="tx1"/>
            </a:solidFill>
          </a:endParaRPr>
        </a:p>
      </xdr:txBody>
    </xdr:sp>
    <xdr:clientData/>
  </xdr:twoCellAnchor>
  <xdr:twoCellAnchor>
    <xdr:from>
      <xdr:col>0</xdr:col>
      <xdr:colOff>28756</xdr:colOff>
      <xdr:row>3</xdr:row>
      <xdr:rowOff>28756</xdr:rowOff>
    </xdr:from>
    <xdr:to>
      <xdr:col>9</xdr:col>
      <xdr:colOff>0</xdr:colOff>
      <xdr:row>6</xdr:row>
      <xdr:rowOff>1</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28756" y="556294"/>
          <a:ext cx="5510398" cy="49878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by Region</a:t>
          </a:r>
          <a:endParaRPr lang="en-ZA" sz="2800" b="1" u="none">
            <a:solidFill>
              <a:schemeClr val="tx1"/>
            </a:solidFill>
          </a:endParaRPr>
        </a:p>
      </xdr:txBody>
    </xdr:sp>
    <xdr:clientData/>
  </xdr:twoCellAnchor>
  <xdr:twoCellAnchor>
    <xdr:from>
      <xdr:col>10</xdr:col>
      <xdr:colOff>23671</xdr:colOff>
      <xdr:row>3</xdr:row>
      <xdr:rowOff>34728</xdr:rowOff>
    </xdr:from>
    <xdr:to>
      <xdr:col>19</xdr:col>
      <xdr:colOff>54709</xdr:colOff>
      <xdr:row>6</xdr:row>
      <xdr:rowOff>5310</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6067119" y="586521"/>
          <a:ext cx="5470142" cy="522375"/>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Monthly Revenue</a:t>
          </a:r>
        </a:p>
      </xdr:txBody>
    </xdr:sp>
    <xdr:clientData/>
  </xdr:twoCellAnchor>
  <xdr:twoCellAnchor>
    <xdr:from>
      <xdr:col>19</xdr:col>
      <xdr:colOff>580476</xdr:colOff>
      <xdr:row>3</xdr:row>
      <xdr:rowOff>21845</xdr:rowOff>
    </xdr:from>
    <xdr:to>
      <xdr:col>28</xdr:col>
      <xdr:colOff>609599</xdr:colOff>
      <xdr:row>6</xdr:row>
      <xdr:rowOff>11724</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2162876" y="584553"/>
          <a:ext cx="5515523" cy="55258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Product</a:t>
          </a:r>
          <a:r>
            <a:rPr lang="en-ZA" sz="2800" b="1" u="none" baseline="0">
              <a:solidFill>
                <a:schemeClr val="tx1"/>
              </a:solidFill>
            </a:rPr>
            <a:t> Category Distribution</a:t>
          </a:r>
          <a:endParaRPr lang="en-ZA" sz="2800" b="1" u="none">
            <a:solidFill>
              <a:schemeClr val="tx1"/>
            </a:solidFill>
          </a:endParaRPr>
        </a:p>
      </xdr:txBody>
    </xdr:sp>
    <xdr:clientData/>
  </xdr:twoCellAnchor>
  <xdr:twoCellAnchor editAs="oneCell">
    <xdr:from>
      <xdr:col>0</xdr:col>
      <xdr:colOff>350520</xdr:colOff>
      <xdr:row>0</xdr:row>
      <xdr:rowOff>30480</xdr:rowOff>
    </xdr:from>
    <xdr:to>
      <xdr:col>3</xdr:col>
      <xdr:colOff>388620</xdr:colOff>
      <xdr:row>3</xdr:row>
      <xdr:rowOff>3224</xdr:rowOff>
    </xdr:to>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91614" cy="519293"/>
        </a:xfrm>
        <a:prstGeom prst="rect">
          <a:avLst/>
        </a:prstGeom>
        <a:noFill/>
        <a:ln>
          <a:noFill/>
        </a:ln>
      </xdr:spPr>
    </xdr:pic>
    <xdr:clientData/>
  </xdr:twoCellAnchor>
  <xdr:twoCellAnchor>
    <xdr:from>
      <xdr:col>0</xdr:col>
      <xdr:colOff>0</xdr:colOff>
      <xdr:row>6</xdr:row>
      <xdr:rowOff>20946</xdr:rowOff>
    </xdr:from>
    <xdr:to>
      <xdr:col>9</xdr:col>
      <xdr:colOff>0</xdr:colOff>
      <xdr:row>23</xdr:row>
      <xdr:rowOff>29307</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20067</xdr:colOff>
      <xdr:row>6</xdr:row>
      <xdr:rowOff>26399</xdr:rowOff>
    </xdr:from>
    <xdr:to>
      <xdr:col>19</xdr:col>
      <xdr:colOff>35442</xdr:colOff>
      <xdr:row>22</xdr:row>
      <xdr:rowOff>159488</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605780</xdr:colOff>
      <xdr:row>11</xdr:row>
      <xdr:rowOff>36129</xdr:rowOff>
    </xdr:from>
    <xdr:to>
      <xdr:col>37</xdr:col>
      <xdr:colOff>35034</xdr:colOff>
      <xdr:row>16</xdr:row>
      <xdr:rowOff>32403</xdr:rowOff>
    </xdr:to>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8131780" y="2059370"/>
              <a:ext cx="4264013" cy="91593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609996</xdr:colOff>
      <xdr:row>16</xdr:row>
      <xdr:rowOff>41615</xdr:rowOff>
    </xdr:from>
    <xdr:to>
      <xdr:col>37</xdr:col>
      <xdr:colOff>35034</xdr:colOff>
      <xdr:row>21</xdr:row>
      <xdr:rowOff>37888</xdr:rowOff>
    </xdr:to>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135996" y="2984512"/>
              <a:ext cx="4259797" cy="91592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605806</xdr:colOff>
      <xdr:row>21</xdr:row>
      <xdr:rowOff>48966</xdr:rowOff>
    </xdr:from>
    <xdr:to>
      <xdr:col>37</xdr:col>
      <xdr:colOff>35033</xdr:colOff>
      <xdr:row>26</xdr:row>
      <xdr:rowOff>46596</xdr:rowOff>
    </xdr:to>
    <mc:AlternateContent xmlns:mc="http://schemas.openxmlformats.org/markup-compatibility/2006" xmlns:a14="http://schemas.microsoft.com/office/drawing/2010/main">
      <mc:Choice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8131806" y="3911518"/>
              <a:ext cx="4263986" cy="91728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606206</xdr:colOff>
      <xdr:row>6</xdr:row>
      <xdr:rowOff>21511</xdr:rowOff>
    </xdr:from>
    <xdr:to>
      <xdr:col>37</xdr:col>
      <xdr:colOff>17517</xdr:colOff>
      <xdr:row>11</xdr:row>
      <xdr:rowOff>17784</xdr:rowOff>
    </xdr:to>
    <mc:AlternateContent xmlns:mc="http://schemas.openxmlformats.org/markup-compatibility/2006" xmlns:tsle="http://schemas.microsoft.com/office/drawing/2012/timeslicer">
      <mc:Choice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0" y="0"/>
            <a:ext cx="0" cy="0"/>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18132206" y="1125097"/>
              <a:ext cx="4246070" cy="915928"/>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0</xdr:col>
      <xdr:colOff>0</xdr:colOff>
      <xdr:row>27</xdr:row>
      <xdr:rowOff>153712</xdr:rowOff>
    </xdr:from>
    <xdr:to>
      <xdr:col>13</xdr:col>
      <xdr:colOff>600808</xdr:colOff>
      <xdr:row>47</xdr:row>
      <xdr:rowOff>152078</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34615</xdr:colOff>
      <xdr:row>25</xdr:row>
      <xdr:rowOff>10850</xdr:rowOff>
    </xdr:from>
    <xdr:to>
      <xdr:col>13</xdr:col>
      <xdr:colOff>607840</xdr:colOff>
      <xdr:row>27</xdr:row>
      <xdr:rowOff>158988</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34615" y="4582850"/>
          <a:ext cx="8498025" cy="51389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Top Products of the Month</a:t>
          </a:r>
        </a:p>
      </xdr:txBody>
    </xdr:sp>
    <xdr:clientData/>
  </xdr:twoCellAnchor>
  <xdr:twoCellAnchor editAs="oneCell">
    <xdr:from>
      <xdr:col>29</xdr:col>
      <xdr:colOff>608297</xdr:colOff>
      <xdr:row>26</xdr:row>
      <xdr:rowOff>73745</xdr:rowOff>
    </xdr:from>
    <xdr:to>
      <xdr:col>37</xdr:col>
      <xdr:colOff>35034</xdr:colOff>
      <xdr:row>31</xdr:row>
      <xdr:rowOff>70018</xdr:rowOff>
    </xdr:to>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8286697" y="4696545"/>
              <a:ext cx="4303537" cy="885273"/>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613076</xdr:colOff>
      <xdr:row>3</xdr:row>
      <xdr:rowOff>38069</xdr:rowOff>
    </xdr:from>
    <xdr:to>
      <xdr:col>37</xdr:col>
      <xdr:colOff>17517</xdr:colOff>
      <xdr:row>6</xdr:row>
      <xdr:rowOff>8760</xdr:rowOff>
    </xdr:to>
    <xdr:sp macro="" textlink="">
      <xdr:nvSpPr>
        <xdr:cNvPr id="2" name="Rectangle 1">
          <a:extLst>
            <a:ext uri="{FF2B5EF4-FFF2-40B4-BE49-F238E27FC236}">
              <a16:creationId xmlns:a16="http://schemas.microsoft.com/office/drawing/2014/main" id="{EDF370E7-A90F-4DAE-B746-ADE9B571236B}"/>
            </a:ext>
          </a:extLst>
        </xdr:cNvPr>
        <xdr:cNvSpPr/>
      </xdr:nvSpPr>
      <xdr:spPr>
        <a:xfrm>
          <a:off x="18393076" y="589862"/>
          <a:ext cx="4309269" cy="52248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FILTER BY:</a:t>
          </a:r>
        </a:p>
      </xdr:txBody>
    </xdr:sp>
    <xdr:clientData/>
  </xdr:twoCellAnchor>
  <xdr:twoCellAnchor>
    <xdr:from>
      <xdr:col>15</xdr:col>
      <xdr:colOff>611</xdr:colOff>
      <xdr:row>27</xdr:row>
      <xdr:rowOff>162275</xdr:rowOff>
    </xdr:from>
    <xdr:to>
      <xdr:col>29</xdr:col>
      <xdr:colOff>14111</xdr:colOff>
      <xdr:row>47</xdr:row>
      <xdr:rowOff>172720</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4134</xdr:colOff>
      <xdr:row>25</xdr:row>
      <xdr:rowOff>13874</xdr:rowOff>
    </xdr:from>
    <xdr:to>
      <xdr:col>29</xdr:col>
      <xdr:colOff>10160</xdr:colOff>
      <xdr:row>27</xdr:row>
      <xdr:rowOff>162012</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9148134" y="4585874"/>
          <a:ext cx="8540426" cy="51389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Salesperson Performance</a:t>
          </a:r>
        </a:p>
      </xdr:txBody>
    </xdr:sp>
    <xdr:clientData/>
  </xdr:twoCellAnchor>
  <xdr:twoCellAnchor>
    <xdr:from>
      <xdr:col>30</xdr:col>
      <xdr:colOff>7903</xdr:colOff>
      <xdr:row>33</xdr:row>
      <xdr:rowOff>17152</xdr:rowOff>
    </xdr:from>
    <xdr:to>
      <xdr:col>37</xdr:col>
      <xdr:colOff>0</xdr:colOff>
      <xdr:row>37</xdr:row>
      <xdr:rowOff>170330</xdr:rowOff>
    </xdr:to>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18295903" y="5933858"/>
          <a:ext cx="4259297" cy="870354"/>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a:t>
          </a:r>
        </a:p>
        <a:p>
          <a:pPr algn="ctr"/>
          <a:fld id="{1487D781-EC85-44F9-BD03-BF5F1C979E13}" type="TxLink">
            <a:rPr lang="en-US" sz="20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clientData/>
  </xdr:twoCellAnchor>
  <xdr:twoCellAnchor>
    <xdr:from>
      <xdr:col>30</xdr:col>
      <xdr:colOff>3267</xdr:colOff>
      <xdr:row>38</xdr:row>
      <xdr:rowOff>12070</xdr:rowOff>
    </xdr:from>
    <xdr:to>
      <xdr:col>37</xdr:col>
      <xdr:colOff>8965</xdr:colOff>
      <xdr:row>42</xdr:row>
      <xdr:rowOff>170329</xdr:rowOff>
    </xdr:to>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18291267" y="6825246"/>
          <a:ext cx="4272898" cy="875436"/>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2000" b="1" i="0" u="none" strike="noStrike">
              <a:solidFill>
                <a:schemeClr val="tx1"/>
              </a:solidFill>
              <a:latin typeface="Calibri"/>
              <a:ea typeface="Calibri"/>
              <a:cs typeface="Calibri"/>
            </a:rPr>
            <a:pPr algn="ctr"/>
            <a:t>159</a:t>
          </a:fld>
          <a:endParaRPr lang="en-ZA" sz="2000" b="1">
            <a:solidFill>
              <a:schemeClr val="tx1"/>
            </a:solidFill>
          </a:endParaRPr>
        </a:p>
      </xdr:txBody>
    </xdr:sp>
    <xdr:clientData/>
  </xdr:twoCellAnchor>
  <xdr:twoCellAnchor>
    <xdr:from>
      <xdr:col>30</xdr:col>
      <xdr:colOff>13133</xdr:colOff>
      <xdr:row>43</xdr:row>
      <xdr:rowOff>17771</xdr:rowOff>
    </xdr:from>
    <xdr:to>
      <xdr:col>37</xdr:col>
      <xdr:colOff>8964</xdr:colOff>
      <xdr:row>47</xdr:row>
      <xdr:rowOff>170329</xdr:rowOff>
    </xdr:to>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18301133" y="7727418"/>
          <a:ext cx="4263031" cy="869735"/>
        </a:xfrm>
        <a:prstGeom prst="rect">
          <a:avLst/>
        </a:prstGeom>
        <a:solidFill>
          <a:schemeClr val="bg1">
            <a:lumMod val="8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2000" b="1" i="0" u="none" strike="noStrike">
              <a:solidFill>
                <a:schemeClr val="tx1"/>
              </a:solidFill>
              <a:latin typeface="Calibri"/>
              <a:ea typeface="Calibri"/>
              <a:cs typeface="Calibri"/>
            </a:rPr>
            <a:pPr algn="ctr"/>
            <a:t>Phone</a:t>
          </a:fld>
          <a:endParaRPr lang="en-ZA" sz="2000" b="1">
            <a:solidFill>
              <a:schemeClr val="tx1"/>
            </a:solidFill>
          </a:endParaRPr>
        </a:p>
      </xdr:txBody>
    </xdr:sp>
    <xdr:clientData/>
  </xdr:twoCellAnchor>
  <xdr:twoCellAnchor>
    <xdr:from>
      <xdr:col>19</xdr:col>
      <xdr:colOff>550418</xdr:colOff>
      <xdr:row>6</xdr:row>
      <xdr:rowOff>25756</xdr:rowOff>
    </xdr:from>
    <xdr:to>
      <xdr:col>29</xdr:col>
      <xdr:colOff>0</xdr:colOff>
      <xdr:row>22</xdr:row>
      <xdr:rowOff>157654</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28.626121643516"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Monthl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64:F7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axis="axisRow" showAll="0">
      <items count="6">
        <item x="2"/>
        <item x="0"/>
        <item x="1"/>
        <item x="3"/>
        <item x="4"/>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4"/>
    </i>
    <i t="grand">
      <x/>
    </i>
  </rowItems>
  <colFields count="3">
    <field x="11"/>
    <field x="10"/>
    <field x="9"/>
  </colFields>
  <colItems count="5">
    <i>
      <x v="1"/>
    </i>
    <i>
      <x v="2"/>
    </i>
    <i>
      <x v="3"/>
    </i>
    <i>
      <x v="4"/>
    </i>
    <i t="grand">
      <x/>
    </i>
  </colItems>
  <dataFields count="1">
    <dataField name="Sum of revenue" fld="8" baseField="0" baseItem="0"/>
  </dataFields>
  <chartFormats count="12">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location ref="A39:B5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54:G6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6">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2E6C64-2F9D-443D-AE81-1304DED4A368}" name="Saleperson 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9:B35" firstHeaderRow="1" firstDataRow="1" firstDataCol="1"/>
  <pivotFields count="12">
    <pivotField showAll="0"/>
    <pivotField numFmtId="14" showAll="0"/>
    <pivotField showAll="0">
      <items count="6">
        <item x="4"/>
        <item x="3"/>
        <item x="0"/>
        <item x="1"/>
        <item x="2"/>
        <item t="default"/>
      </items>
    </pivotField>
    <pivotField showAll="0"/>
    <pivotField showAll="0"/>
    <pivotField showAll="0"/>
    <pivotField showAll="0"/>
    <pivotField axis="axisRow" showAll="0">
      <items count="6">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i>
    <i>
      <x v="1"/>
    </i>
    <i>
      <x v="2"/>
    </i>
    <i>
      <x v="3"/>
    </i>
    <i>
      <x v="4"/>
    </i>
    <i t="grand">
      <x/>
    </i>
  </rowItems>
  <colItems count="1">
    <i/>
  </colItems>
  <dataFields count="1">
    <dataField name="Sum of revenu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Monthly"/>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5">
        <i x="2" s="1"/>
        <i x="0" s="1"/>
        <i x="1"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Monthly Revenue Trends"/>
    <pivotTable tabId="2" name="Products of the Month"/>
    <pivotTable tabId="2" name="Sales by Region"/>
    <pivotTable tabId="2" name="Top Performing Products"/>
    <pivotTable tabId="2" name="Salesperson Performance Monthly"/>
    <pivotTable tabId="2" name="Sale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Dark3"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Dark3"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5"/>
    <tableColumn id="3" xr3:uid="{B49AF3FD-EA94-4A43-9737-C744A534E8DA}" uniqueName="3" name="product" queryTableFieldId="3" dataDxfId="4"/>
    <tableColumn id="4" xr3:uid="{B530BC2A-7636-49F2-92BF-FA9F86CE95D0}" uniqueName="4" name="category" queryTableFieldId="4" dataDxfId="3"/>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2"/>
    <tableColumn id="8" xr3:uid="{27C1F225-7A62-4C0E-95F6-A70381D296EB}" uniqueName="8" name="salesperson" queryTableFieldId="8" dataDxfId="1"/>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Product Category Distribution"/>
    <pivotTable tabId="2" name="Products of the Month"/>
    <pivotTable tabId="2" name="Salesperson Performance Monthly"/>
    <pivotTable tabId="2" name="Top Performing Products"/>
    <pivotTable tabId="2" name="Saleperson Performance"/>
    <pivotTable tabId="2" name="Monthly Revenue Trend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C2" sqref="C2"/>
    </sheetView>
  </sheetViews>
  <sheetFormatPr defaultRowHeight="14.4" x14ac:dyDescent="0.3"/>
  <cols>
    <col min="1" max="1" width="16.21875" bestFit="1" customWidth="1"/>
    <col min="2" max="2" width="11" bestFit="1" customWidth="1"/>
    <col min="3" max="3" width="10.44140625" bestFit="1" customWidth="1"/>
    <col min="4" max="4" width="11.109375" bestFit="1" customWidth="1"/>
    <col min="5" max="5" width="11" bestFit="1" customWidth="1"/>
    <col min="6" max="6" width="7.77734375" bestFit="1" customWidth="1"/>
    <col min="7" max="7" width="9" bestFit="1" customWidth="1"/>
    <col min="8" max="8" width="13.5546875" bestFit="1" customWidth="1"/>
    <col min="9" max="9" width="10.554687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25</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25</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73"/>
  <sheetViews>
    <sheetView zoomScale="86" workbookViewId="0">
      <selection activeCell="B56" sqref="B56"/>
    </sheetView>
  </sheetViews>
  <sheetFormatPr defaultRowHeight="14.4" x14ac:dyDescent="0.3"/>
  <cols>
    <col min="1" max="1" width="13.33203125" bestFit="1" customWidth="1"/>
    <col min="2" max="2" width="15" bestFit="1" customWidth="1"/>
    <col min="3" max="3" width="6" bestFit="1" customWidth="1"/>
    <col min="4" max="6" width="7.109375" bestFit="1" customWidth="1"/>
    <col min="7" max="7" width="11.33203125" bestFit="1" customWidth="1"/>
    <col min="8" max="8" width="16.5546875" bestFit="1" customWidth="1"/>
    <col min="9" max="9" width="9.21875" bestFit="1" customWidth="1"/>
    <col min="10" max="10" width="10.88671875" bestFit="1" customWidth="1"/>
  </cols>
  <sheetData>
    <row r="1" spans="1:6" x14ac:dyDescent="0.3">
      <c r="A1" s="1" t="s">
        <v>26</v>
      </c>
      <c r="B1" t="s">
        <v>28</v>
      </c>
      <c r="F1" s="5" t="s">
        <v>37</v>
      </c>
    </row>
    <row r="2" spans="1:6" x14ac:dyDescent="0.3">
      <c r="A2" s="2" t="s">
        <v>18</v>
      </c>
      <c r="B2" s="7">
        <v>270000</v>
      </c>
    </row>
    <row r="3" spans="1:6" x14ac:dyDescent="0.3">
      <c r="A3" s="2" t="s">
        <v>12</v>
      </c>
      <c r="B3" s="7">
        <v>260500</v>
      </c>
      <c r="F3" s="5" t="s">
        <v>34</v>
      </c>
    </row>
    <row r="4" spans="1:6" x14ac:dyDescent="0.3">
      <c r="A4" s="2" t="s">
        <v>15</v>
      </c>
      <c r="B4" s="7">
        <v>225000</v>
      </c>
      <c r="F4" s="6">
        <f>SUM('clean_sales'!I2:I49)</f>
        <v>903500</v>
      </c>
    </row>
    <row r="5" spans="1:6" x14ac:dyDescent="0.3">
      <c r="A5" s="2" t="s">
        <v>22</v>
      </c>
      <c r="B5" s="7">
        <v>148000</v>
      </c>
    </row>
    <row r="6" spans="1:6" x14ac:dyDescent="0.3">
      <c r="A6" s="2" t="s">
        <v>27</v>
      </c>
      <c r="B6" s="7">
        <v>903500</v>
      </c>
      <c r="F6" s="5" t="s">
        <v>35</v>
      </c>
    </row>
    <row r="7" spans="1:6" x14ac:dyDescent="0.3">
      <c r="F7">
        <f>SUM('clean_sales'!E2:E49)</f>
        <v>159</v>
      </c>
    </row>
    <row r="9" spans="1:6" x14ac:dyDescent="0.3">
      <c r="F9" s="5" t="s">
        <v>36</v>
      </c>
    </row>
    <row r="10" spans="1:6" x14ac:dyDescent="0.3">
      <c r="A10" s="1" t="s">
        <v>26</v>
      </c>
      <c r="B10" t="s">
        <v>28</v>
      </c>
      <c r="F10" t="str">
        <f>INDEX('clean_sales'!G2:G49, MATCH(MAX('clean_sales'!I2:I49), 'clean_sales'!I2:I49, 0))</f>
        <v>North</v>
      </c>
    </row>
    <row r="11" spans="1:6" x14ac:dyDescent="0.3">
      <c r="A11" s="2" t="s">
        <v>24</v>
      </c>
      <c r="B11" s="7">
        <v>58500</v>
      </c>
    </row>
    <row r="12" spans="1:6" x14ac:dyDescent="0.3">
      <c r="A12" s="2" t="s">
        <v>20</v>
      </c>
      <c r="B12" s="7">
        <v>75000</v>
      </c>
      <c r="F12" s="5" t="s">
        <v>38</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27</v>
      </c>
      <c r="B16" s="7">
        <v>903500</v>
      </c>
    </row>
    <row r="20" spans="1:2" x14ac:dyDescent="0.3">
      <c r="A20" s="1" t="s">
        <v>26</v>
      </c>
      <c r="B20" t="s">
        <v>28</v>
      </c>
    </row>
    <row r="21" spans="1:2" x14ac:dyDescent="0.3">
      <c r="A21" s="2" t="s">
        <v>30</v>
      </c>
      <c r="B21" s="7">
        <v>160000</v>
      </c>
    </row>
    <row r="22" spans="1:2" x14ac:dyDescent="0.3">
      <c r="A22" s="2" t="s">
        <v>31</v>
      </c>
      <c r="B22" s="7">
        <v>200500</v>
      </c>
    </row>
    <row r="23" spans="1:2" x14ac:dyDescent="0.3">
      <c r="A23" s="2" t="s">
        <v>32</v>
      </c>
      <c r="B23" s="7">
        <v>271500</v>
      </c>
    </row>
    <row r="24" spans="1:2" x14ac:dyDescent="0.3">
      <c r="A24" s="2" t="s">
        <v>33</v>
      </c>
      <c r="B24" s="7">
        <v>271500</v>
      </c>
    </row>
    <row r="25" spans="1:2" x14ac:dyDescent="0.3">
      <c r="A25" s="2" t="s">
        <v>27</v>
      </c>
      <c r="B25" s="7">
        <v>903500</v>
      </c>
    </row>
    <row r="29" spans="1:2" x14ac:dyDescent="0.3">
      <c r="A29" s="1" t="s">
        <v>26</v>
      </c>
      <c r="B29" t="s">
        <v>28</v>
      </c>
    </row>
    <row r="30" spans="1:2" x14ac:dyDescent="0.3">
      <c r="A30" s="2" t="s">
        <v>19</v>
      </c>
      <c r="B30" s="7">
        <v>270000</v>
      </c>
    </row>
    <row r="31" spans="1:2" x14ac:dyDescent="0.3">
      <c r="A31" s="2" t="s">
        <v>13</v>
      </c>
      <c r="B31" s="7">
        <v>260500</v>
      </c>
    </row>
    <row r="32" spans="1:2" x14ac:dyDescent="0.3">
      <c r="A32" s="2" t="s">
        <v>16</v>
      </c>
      <c r="B32" s="7">
        <v>204000</v>
      </c>
    </row>
    <row r="33" spans="1:2" x14ac:dyDescent="0.3">
      <c r="A33" s="2" t="s">
        <v>23</v>
      </c>
      <c r="B33" s="7">
        <v>148000</v>
      </c>
    </row>
    <row r="34" spans="1:2" x14ac:dyDescent="0.3">
      <c r="A34" s="2" t="s">
        <v>25</v>
      </c>
      <c r="B34" s="7">
        <v>21000</v>
      </c>
    </row>
    <row r="35" spans="1:2" x14ac:dyDescent="0.3">
      <c r="A35" s="2" t="s">
        <v>27</v>
      </c>
      <c r="B35" s="7">
        <v>903500</v>
      </c>
    </row>
    <row r="39" spans="1:2" x14ac:dyDescent="0.3">
      <c r="A39" s="1" t="s">
        <v>26</v>
      </c>
      <c r="B39" t="s">
        <v>28</v>
      </c>
    </row>
    <row r="40" spans="1:2" x14ac:dyDescent="0.3">
      <c r="A40" s="2" t="s">
        <v>24</v>
      </c>
      <c r="B40" s="7">
        <v>58500</v>
      </c>
    </row>
    <row r="41" spans="1:2" x14ac:dyDescent="0.3">
      <c r="A41" s="3" t="s">
        <v>21</v>
      </c>
      <c r="B41" s="7">
        <v>58500</v>
      </c>
    </row>
    <row r="42" spans="1:2" x14ac:dyDescent="0.3">
      <c r="A42" s="2" t="s">
        <v>20</v>
      </c>
      <c r="B42" s="7">
        <v>75000</v>
      </c>
    </row>
    <row r="43" spans="1:2" x14ac:dyDescent="0.3">
      <c r="A43" s="3" t="s">
        <v>21</v>
      </c>
      <c r="B43" s="7">
        <v>75000</v>
      </c>
    </row>
    <row r="44" spans="1:2" x14ac:dyDescent="0.3">
      <c r="A44" s="2" t="s">
        <v>10</v>
      </c>
      <c r="B44" s="7">
        <v>180000</v>
      </c>
    </row>
    <row r="45" spans="1:2" x14ac:dyDescent="0.3">
      <c r="A45" s="3" t="s">
        <v>11</v>
      </c>
      <c r="B45" s="7">
        <v>180000</v>
      </c>
    </row>
    <row r="46" spans="1:2" x14ac:dyDescent="0.3">
      <c r="A46" s="2" t="s">
        <v>14</v>
      </c>
      <c r="B46" s="7">
        <v>440000</v>
      </c>
    </row>
    <row r="47" spans="1:2" x14ac:dyDescent="0.3">
      <c r="A47" s="3" t="s">
        <v>11</v>
      </c>
      <c r="B47" s="7">
        <v>440000</v>
      </c>
    </row>
    <row r="48" spans="1:2" x14ac:dyDescent="0.3">
      <c r="A48" s="2" t="s">
        <v>17</v>
      </c>
      <c r="B48" s="7">
        <v>150000</v>
      </c>
    </row>
    <row r="49" spans="1:7" x14ac:dyDescent="0.3">
      <c r="A49" s="3" t="s">
        <v>11</v>
      </c>
      <c r="B49" s="7">
        <v>150000</v>
      </c>
    </row>
    <row r="50" spans="1:7" x14ac:dyDescent="0.3">
      <c r="A50" s="2" t="s">
        <v>27</v>
      </c>
      <c r="B50" s="7">
        <v>903500</v>
      </c>
    </row>
    <row r="54" spans="1:7" x14ac:dyDescent="0.3">
      <c r="A54" s="1" t="s">
        <v>28</v>
      </c>
      <c r="B54" s="1" t="s">
        <v>29</v>
      </c>
    </row>
    <row r="55" spans="1:7" x14ac:dyDescent="0.3">
      <c r="A55" s="1" t="s">
        <v>26</v>
      </c>
      <c r="B55" t="s">
        <v>24</v>
      </c>
      <c r="C55" t="s">
        <v>20</v>
      </c>
      <c r="D55" t="s">
        <v>10</v>
      </c>
      <c r="E55" t="s">
        <v>14</v>
      </c>
      <c r="F55" t="s">
        <v>17</v>
      </c>
      <c r="G55" t="s">
        <v>27</v>
      </c>
    </row>
    <row r="56" spans="1:7" x14ac:dyDescent="0.3">
      <c r="A56" s="2" t="s">
        <v>30</v>
      </c>
      <c r="B56" s="7"/>
      <c r="C56" s="7">
        <v>6000</v>
      </c>
      <c r="D56" s="7">
        <v>36000</v>
      </c>
      <c r="E56" s="7">
        <v>88000</v>
      </c>
      <c r="F56" s="7">
        <v>30000</v>
      </c>
      <c r="G56" s="7">
        <v>160000</v>
      </c>
    </row>
    <row r="57" spans="1:7" x14ac:dyDescent="0.3">
      <c r="A57" s="2" t="s">
        <v>31</v>
      </c>
      <c r="B57" s="7">
        <v>22500</v>
      </c>
      <c r="C57" s="7">
        <v>24000</v>
      </c>
      <c r="D57" s="7">
        <v>36000</v>
      </c>
      <c r="E57" s="7">
        <v>88000</v>
      </c>
      <c r="F57" s="7">
        <v>30000</v>
      </c>
      <c r="G57" s="7">
        <v>200500</v>
      </c>
    </row>
    <row r="58" spans="1:7" x14ac:dyDescent="0.3">
      <c r="A58" s="2" t="s">
        <v>32</v>
      </c>
      <c r="B58" s="7">
        <v>22500</v>
      </c>
      <c r="C58" s="7">
        <v>21000</v>
      </c>
      <c r="D58" s="7">
        <v>60000</v>
      </c>
      <c r="E58" s="7">
        <v>120000</v>
      </c>
      <c r="F58" s="7">
        <v>48000</v>
      </c>
      <c r="G58" s="7">
        <v>271500</v>
      </c>
    </row>
    <row r="59" spans="1:7" x14ac:dyDescent="0.3">
      <c r="A59" s="2" t="s">
        <v>33</v>
      </c>
      <c r="B59" s="7">
        <v>13500</v>
      </c>
      <c r="C59" s="7">
        <v>24000</v>
      </c>
      <c r="D59" s="7">
        <v>48000</v>
      </c>
      <c r="E59" s="7">
        <v>144000</v>
      </c>
      <c r="F59" s="7">
        <v>42000</v>
      </c>
      <c r="G59" s="7">
        <v>271500</v>
      </c>
    </row>
    <row r="60" spans="1:7" x14ac:dyDescent="0.3">
      <c r="A60" s="2" t="s">
        <v>27</v>
      </c>
      <c r="B60" s="7">
        <v>58500</v>
      </c>
      <c r="C60" s="7">
        <v>75000</v>
      </c>
      <c r="D60" s="7">
        <v>180000</v>
      </c>
      <c r="E60" s="7">
        <v>440000</v>
      </c>
      <c r="F60" s="7">
        <v>150000</v>
      </c>
      <c r="G60" s="7">
        <v>903500</v>
      </c>
    </row>
    <row r="64" spans="1:7" x14ac:dyDescent="0.3">
      <c r="A64" s="1" t="s">
        <v>28</v>
      </c>
      <c r="B64" s="1" t="s">
        <v>29</v>
      </c>
    </row>
    <row r="65" spans="1:6" x14ac:dyDescent="0.3">
      <c r="B65" t="s">
        <v>30</v>
      </c>
      <c r="C65" t="s">
        <v>31</v>
      </c>
      <c r="D65" t="s">
        <v>32</v>
      </c>
      <c r="E65" t="s">
        <v>33</v>
      </c>
      <c r="F65" t="s">
        <v>27</v>
      </c>
    </row>
    <row r="67" spans="1:6" x14ac:dyDescent="0.3">
      <c r="A67" s="1" t="s">
        <v>26</v>
      </c>
    </row>
    <row r="68" spans="1:6" x14ac:dyDescent="0.3">
      <c r="A68" s="2" t="s">
        <v>19</v>
      </c>
      <c r="B68" s="7">
        <v>66000</v>
      </c>
      <c r="C68" s="7">
        <v>36000</v>
      </c>
      <c r="D68" s="7">
        <v>96000</v>
      </c>
      <c r="E68" s="7">
        <v>72000</v>
      </c>
      <c r="F68" s="7">
        <v>270000</v>
      </c>
    </row>
    <row r="69" spans="1:6" x14ac:dyDescent="0.3">
      <c r="A69" s="2" t="s">
        <v>13</v>
      </c>
      <c r="B69" s="7">
        <v>30000</v>
      </c>
      <c r="C69" s="7">
        <v>81500</v>
      </c>
      <c r="D69" s="7">
        <v>55500</v>
      </c>
      <c r="E69" s="7">
        <v>93500</v>
      </c>
      <c r="F69" s="7">
        <v>260500</v>
      </c>
    </row>
    <row r="70" spans="1:6" x14ac:dyDescent="0.3">
      <c r="A70" s="2" t="s">
        <v>16</v>
      </c>
      <c r="B70" s="7">
        <v>52000</v>
      </c>
      <c r="C70" s="7">
        <v>21000</v>
      </c>
      <c r="D70" s="7">
        <v>70000</v>
      </c>
      <c r="E70" s="7">
        <v>61000</v>
      </c>
      <c r="F70" s="7">
        <v>204000</v>
      </c>
    </row>
    <row r="71" spans="1:6" x14ac:dyDescent="0.3">
      <c r="A71" s="2" t="s">
        <v>23</v>
      </c>
      <c r="B71" s="7">
        <v>12000</v>
      </c>
      <c r="C71" s="7">
        <v>53000</v>
      </c>
      <c r="D71" s="7">
        <v>50000</v>
      </c>
      <c r="E71" s="7">
        <v>33000</v>
      </c>
      <c r="F71" s="7">
        <v>148000</v>
      </c>
    </row>
    <row r="72" spans="1:6" x14ac:dyDescent="0.3">
      <c r="A72" s="2" t="s">
        <v>25</v>
      </c>
      <c r="B72" s="7"/>
      <c r="C72" s="7">
        <v>9000</v>
      </c>
      <c r="D72" s="7"/>
      <c r="E72" s="7">
        <v>12000</v>
      </c>
      <c r="F72" s="7">
        <v>21000</v>
      </c>
    </row>
    <row r="73" spans="1:6" x14ac:dyDescent="0.3">
      <c r="A73" s="2" t="s">
        <v>27</v>
      </c>
      <c r="B73" s="7">
        <v>160000</v>
      </c>
      <c r="C73" s="7">
        <v>200500</v>
      </c>
      <c r="D73" s="7">
        <v>271500</v>
      </c>
      <c r="E73" s="7">
        <v>271500</v>
      </c>
      <c r="F7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zoomScale="58" zoomScaleNormal="60" zoomScaleSheetLayoutView="41" workbookViewId="0">
      <selection activeCell="O45" sqref="O45"/>
    </sheetView>
  </sheetViews>
  <sheetFormatPr defaultRowHeight="14.4" x14ac:dyDescent="0.3"/>
  <sheetData/>
  <pageMargins left="0.7" right="0.7" top="0.75" bottom="0.75" header="0.3" footer="0.3"/>
  <pageSetup paperSize="9" scale="39"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2026-04-21T10:00:13Z</dcterms:modified>
</cp:coreProperties>
</file>