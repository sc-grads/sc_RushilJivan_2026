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7A94DFB6-4541-4384-8EBB-BB1A1ADC459C}"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Dashboard!$A$1:$AL$55</definedName>
    <definedName name="Slicer_category">#N/A</definedName>
    <definedName name="Slicer_product">#N/A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<sst xmlns="http://schemas.openxmlformats.org/spreadsheetml/2006/main" count="276" uniqueCount="39">
  <si>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</si>
  <si>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</si>
  <si>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</si>
  <si>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</si>
  <si>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</si>
  <si>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</si>
  <si>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</si>
  <si>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</si>
  <si>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</si>
  <si>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</si>
  <si>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</si>
  <si>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</si>
  <si>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</si>
  <si>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</si>
  <si>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</si>
  <si>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</si>
  <si>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</si>
  <si>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</si>
  <si>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</si>
  <si>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</si>
  <si>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</si>
  <si>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</si>
  <si>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</si>
  <si>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</si>
  <si>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</si>
  <si>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Row Labels</t>
  </si>
  <si>
    <t>Grand Total</t>
  </si>
  <si>
    <t>Sum of revenue</t>
  </si>
  <si>
    <t>Column Labels</t>
  </si>
  <si>
    <t>Jan</t>
  </si>
  <si>
    <t>Feb</t>
  </si>
  <si>
    <t>Mar</t>
  </si>
  <si>
    <t>Apr</t>
  </si>
  <si>
    <t>Total Revenue</t>
  </si>
  <si>
    <t>Total Quantity</t>
  </si>
  <si>
    <t>Top Region</t>
  </si>
  <si>
    <t>KPI's</t>
  </si>
  <si>
    <t>Top Product</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</si>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</sst>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Pivot_Tables!$B$54:$B$55</c:f>
              <c:strCache>
                <c:ptCount val="1"/>
                <c:pt idx="0">
                  <c:v>Chair</c:v>
                </c:pt>
              </c:strCache>
            </c:strRef>
          </c:tx>
          <c:spPr>
            <a:solidFill>
              <a:schemeClr val="accent5">
                <a:tint val="54000"/>
              </a:schemeClr>
            </a:solidFill>
            <a:ln>
              <a:noFill/>
            </a:ln>
            <a:effectLst/>
          </c:spPr>
          <c:invertIfNegative val="0"/>
          <c:dPt>
            <c:idx val="1"/>
            <c:invertIfNegative val="0"/>
            <c:bubble3D val="0"/>
            <c:spPr>
              <a:solidFill>
                <a:schemeClr val="accent5">
                  <a:tint val="54000"/>
                </a:schemeClr>
              </a:solidFill>
              <a:ln>
                <a:noFill/>
              </a:ln>
              <a:effectLst/>
            </c:spPr>
            <c:extLst>
              <c:ext xmlns:c16="http://schemas.microsoft.com/office/drawing/2014/chart" uri="{C3380CC4-5D6E-409C-BE32-E72D297353CC}">
                <c16:uniqueId val="{00000001-2DB3-4E06-B608-BA76B17E4A92}"/>
              </c:ext>
            </c:extLst>
          </c:dPt>
          <c:dPt>
            <c:idx val="2"/>
            <c:invertIfNegative val="0"/>
            <c:bubble3D val="0"/>
            <c:spPr>
              <a:solidFill>
                <a:schemeClr val="accent5">
                  <a:tint val="54000"/>
                </a:schemeClr>
              </a:solidFill>
              <a:ln>
                <a:noFill/>
              </a:ln>
              <a:effectLst/>
            </c:spPr>
            <c:extLst>
              <c:ext xmlns:c16="http://schemas.microsoft.com/office/drawing/2014/chart" uri="{C3380CC4-5D6E-409C-BE32-E72D297353CC}">
                <c16:uniqueId val="{00000000-2DB3-4E06-B608-BA76B17E4A92}"/>
              </c:ext>
            </c:extLst>
          </c:dPt>
          <c:dLbls>
            <c:dLbl>
              <c:idx val="1"/>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DB3-4E06-B608-BA76B17E4A92}"/>
                </c:ext>
              </c:extLst>
            </c:dLbl>
            <c:dLbl>
              <c:idx val="2"/>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DB3-4E06-B608-BA76B17E4A92}"/>
                </c:ext>
              </c:extLst>
            </c:dLbl>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Pivot_Tables!$B$56:$B$60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Pivot_Tables!$C$54:$C$55</c:f>
              <c:strCache>
                <c:ptCount val="1"/>
                <c:pt idx="0">
                  <c:v>Desk</c:v>
                </c:pt>
              </c:strCache>
            </c:strRef>
          </c:tx>
          <c:spPr>
            <a:solidFill>
              <a:schemeClr val="accent5">
                <a:tint val="77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Pivot_Tables!$C$56:$C$60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1C-76C2-4BE1-B983-4798FEE1A925}"/>
            </c:ext>
          </c:extLst>
        </c:ser>
        <c:ser>
          <c:idx val="2"/>
          <c:order val="2"/>
          <c:tx>
            <c:strRef>
              <c:f>Pivot_Tables!$D$54:$D$55</c:f>
              <c:strCache>
                <c:ptCount val="1"/>
                <c:pt idx="0">
                  <c:v>Laptop</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Pivot_Tables!$D$56:$D$60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20-76C2-4BE1-B983-4798FEE1A925}"/>
            </c:ext>
          </c:extLst>
        </c:ser>
        <c:ser>
          <c:idx val="3"/>
          <c:order val="3"/>
          <c:tx>
            <c:strRef>
              <c:f>Pivot_Tables!$E$54:$E$55</c:f>
              <c:strCache>
                <c:ptCount val="1"/>
                <c:pt idx="0">
                  <c:v>Phone</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Pivot_Tables!$E$56:$E$60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21-76C2-4BE1-B983-4798FEE1A925}"/>
            </c:ext>
          </c:extLst>
        </c:ser>
        <c:ser>
          <c:idx val="4"/>
          <c:order val="4"/>
          <c:tx>
            <c:strRef>
              <c:f>Pivot_Tables!$F$54:$F$55</c:f>
              <c:strCache>
                <c:ptCount val="1"/>
                <c:pt idx="0">
                  <c:v>Tablet</c:v>
                </c:pt>
              </c:strCache>
            </c:strRef>
          </c:tx>
          <c:spPr>
            <a:solidFill>
              <a:schemeClr val="accent5">
                <a:shade val="53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Pivot_Tables!$F$56:$F$60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22-76C2-4BE1-B983-4798FEE1A925}"/>
            </c:ext>
          </c:extLst>
        </c:ser>
        <c:dLbls>
          <c:dLblPos val="outEnd"/>
          <c:showLegendKey val="0"/>
          <c:showVal val="1"/>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sz="1050">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[Dashboard.xlsx]Pivot_Tables!Salesperson Performance Monthly</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75518000840641E-2"/>
              <c:y val="7.290234776519344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lumMod val="60000"/>
              </a:schemeClr>
            </a:solidFill>
            <a:round/>
          </a:ln>
          <a:effectLst/>
        </c:spPr>
        <c:marker>
          <c:symbol val="circle"/>
          <c:size val="5"/>
          <c:spPr>
            <a:solidFill>
              <a:schemeClr val="accent1"/>
            </a:solidFill>
            <a:ln w="9525">
              <a:solidFill>
                <a:schemeClr val="accent1"/>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2.734718791282439E-3"/>
              <c:y val="-6.138560185319085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9.4993365492469256E-2"/>
              <c:y val="-5.521188628579128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0.10847083980032057"/>
              <c:y val="-3.020548306653807E-3"/>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0.12934715625012827"/>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7421056330764988E-2"/>
              <c:y val="-5.830685840422559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2.9576333294093458E-2"/>
              <c:y val="-5.850230608347317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0014608664251036E-2"/>
              <c:y val="-3.254609328340420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3.0942428423250613E-2"/>
              <c:y val="5.06145577809420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0796781873062845E-2"/>
              <c:y val="6.2167295276394897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Pivot_Tables!$B$64:$B$67</c:f>
              <c:strCache>
                <c:ptCount val="1"/>
                <c:pt idx="0">
                  <c:v>Jan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2"/>
              <c:layout>
                <c:manualLayout>
                  <c:x val="-6.0796781873062845E-2"/>
                  <c:y val="6.21672952763948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A09-4D1D-B678-EE56EF891C2C}"/>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Pivot_Tables!$B$68:$B$73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Pivot_Tables!$C$64:$C$67</c:f>
              <c:strCache>
                <c:ptCount val="1"/>
                <c:pt idx="0">
                  <c:v>Feb</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chemeClr val="accent3"/>
                </a:solidFill>
                <a:round/>
              </a:ln>
              <a:effectLst/>
            </c:spPr>
          </c:dPt>
          <c:dLbls>
            <c:dLbl>
              <c:idx val="3"/>
              <c:layout>
                <c:manualLayout>
                  <c:x val="-5.7875518000840641E-2"/>
                  <c:y val="7.2902347765193443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Pivot_Tables!$C$68:$C$73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15-3A09-4D1D-B678-EE56EF891C2C}"/>
            </c:ext>
          </c:extLst>
        </c:ser>
        <c:ser>
          <c:idx val="2"/>
          <c:order val="2"/>
          <c:tx>
            <c:strRef>
              <c:f>Pivot_Tables!$D$64:$D$67</c:f>
              <c:strCache>
                <c:ptCount val="1"/>
                <c:pt idx="0">
                  <c:v>Mar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Pt>
            <c:idx val="0"/>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Pt>
            <c:idx val="2"/>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2.9576333294093458E-2"/>
                  <c:y val="-5.850230608347317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2.734718791282439E-3"/>
                  <c:y val="-6.1385601853190856E-2"/>
                </c:manualLayout>
              </c:layout>
              <c:dLblPos val="r"/>
              <c:showLegendKey val="0"/>
              <c:showVal val="1"/>
              <c:showCatName val="0"/>
              <c:showSerName val="0"/>
              <c:showPercent val="0"/>
              <c:showBubbleSize val="0"/>
              <c:extLst>
                <c:ext xmlns:c15="http://schemas.microsoft.com/office/drawing/2012/chart" uri="{CE6537A1-D6FC-4f65-9D91-7224C49458BB}"/>
              </c:extLst>
            </c:dLbl>
            <c:dLbl>
              <c:idx val="3"/>
              <c:layout>
                <c:manualLayout>
                  <c:x val="-3.0942428423250613E-2"/>
                  <c:y val="5.0614557780942059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Pivot_Tables!$D$68:$D$73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16-3A09-4D1D-B678-EE56EF891C2C}"/>
            </c:ext>
          </c:extLst>
        </c:ser>
        <c:ser>
          <c:idx val="3"/>
          <c:order val="3"/>
          <c:tx>
            <c:strRef>
              <c:f>Pivot_Tables!$E$64:$E$67</c:f>
              <c:strCache>
                <c:ptCount val="1"/>
                <c:pt idx="0">
                  <c:v>Apr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Pt>
            <c:idx val="0"/>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1"/>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2"/>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4"/>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Lbls>
            <c:dLbl>
              <c:idx val="0"/>
              <c:layout>
                <c:manualLayout>
                  <c:x val="-0.10847083980032057"/>
                  <c:y val="-3.020548306653807E-3"/>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0.12934715625012827"/>
                  <c:y val="-4.6549838678602733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9.4993365492469256E-2"/>
                  <c:y val="-5.5211886285791281E-2"/>
                </c:manualLayout>
              </c:layout>
              <c:dLblPos val="r"/>
              <c:showLegendKey val="0"/>
              <c:showVal val="1"/>
              <c:showCatName val="0"/>
              <c:showSerName val="0"/>
              <c:showPercent val="0"/>
              <c:showBubbleSize val="0"/>
              <c:extLst>
                <c:ext xmlns:c15="http://schemas.microsoft.com/office/drawing/2012/chart" uri="{CE6537A1-D6FC-4f65-9D91-7224C49458BB}"/>
              </c:extLst>
            </c:dLbl>
            <c:dLbl>
              <c:idx val="3"/>
              <c:layout>
                <c:manualLayout>
                  <c:x val="-4.0014608664251036E-2"/>
                  <c:y val="-3.2546093283404201E-2"/>
                </c:manualLayout>
              </c:layout>
              <c:dLblPos val="r"/>
              <c:showLegendKey val="0"/>
              <c:showVal val="1"/>
              <c:showCatName val="0"/>
              <c:showSerName val="0"/>
              <c:showPercent val="0"/>
              <c:showBubbleSize val="0"/>
              <c:extLst>
                <c:ext xmlns:c15="http://schemas.microsoft.com/office/drawing/2012/chart" uri="{CE6537A1-D6FC-4f65-9D91-7224C49458BB}"/>
              </c:extLst>
            </c:dLbl>
            <c:dLbl>
              <c:idx val="4"/>
              <c:layout>
                <c:manualLayout>
                  <c:x val="-4.7421056330764988E-2"/>
                  <c:y val="-5.8306858404225594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Pivot_Tables!$E$68:$E$73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7-3A09-4D1D-B678-EE56EF891C2C}"/>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multiLvlStrRef>
              <c:f>Pivot_Tables!$A$40:$A$50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Pivot_Tables!$B$40:$B$50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image" Target="../media/image4.png"/><Relationship Id="rId4" Type="http://schemas.openxmlformats.org/officeDocument/2006/relationships/chart" Target="../charts/chart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12</xdr:col>
      <xdr:colOff>578290</xdr:colOff>
      <xdr:row>3</xdr:row>
      <xdr:rowOff>184889</xdr:rowOff>
    </xdr:from>
    <xdr:to>
      <xdr:col>21</xdr:col>
      <xdr:colOff>576831</xdr:colOff>
      <xdr:row>6</xdr:row>
      <xdr:rowOff>159728</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7824479" y="745606"/>
          <a:ext cx="5433182" cy="53555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by Region</a:t>
          </a:r>
          <a:endParaRPr lang="en-ZA" sz="2800" b="1" u="none">
            <a:solidFill>
              <a:schemeClr val="tx1"/>
            </a:solidFill>
          </a:endParaRPr>
        </a:p>
      </xdr:txBody>
    </xdr:sp>
    <xdr:clientData/>
  </xdr:twoCellAnchor>
  <xdr:twoCellAnchor>
    <xdr:from>
      <xdr:col>22</xdr:col>
      <xdr:colOff>561087</xdr:colOff>
      <xdr:row>3</xdr:row>
      <xdr:rowOff>164585</xdr:rowOff>
    </xdr:from>
    <xdr:to>
      <xdr:col>31</xdr:col>
      <xdr:colOff>591630</xdr:colOff>
      <xdr:row>6</xdr:row>
      <xdr:rowOff>138761</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13845766" y="725302"/>
          <a:ext cx="5465185" cy="53489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Monthly Revenue</a:t>
          </a:r>
        </a:p>
      </xdr:txBody>
    </xdr:sp>
    <xdr:clientData/>
  </xdr:twoCellAnchor>
  <xdr:twoCellAnchor>
    <xdr:from>
      <xdr:col>32</xdr:col>
      <xdr:colOff>579237</xdr:colOff>
      <xdr:row>3</xdr:row>
      <xdr:rowOff>164840</xdr:rowOff>
    </xdr:from>
    <xdr:to>
      <xdr:col>42</xdr:col>
      <xdr:colOff>4014</xdr:colOff>
      <xdr:row>6</xdr:row>
      <xdr:rowOff>158313</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9902407" y="725557"/>
          <a:ext cx="5463267" cy="55419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Product</a:t>
          </a:r>
          <a:r>
            <a:rPr lang="en-ZA" sz="2800" b="1" u="none" baseline="0">
              <a:solidFill>
                <a:schemeClr val="tx1"/>
              </a:solidFill>
            </a:rPr>
            <a:t> Category Distribution</a:t>
          </a:r>
          <a:endParaRPr lang="en-ZA" sz="2800" b="1" u="none">
            <a:solidFill>
              <a:schemeClr val="tx1"/>
            </a:solidFill>
          </a:endParaRPr>
        </a:p>
      </xdr:txBody>
    </xdr:sp>
    <xdr:clientData/>
  </xdr:twoCellAnchor>
  <xdr:twoCellAnchor>
    <xdr:from>
      <xdr:col>5</xdr:col>
      <xdr:colOff>8036</xdr:colOff>
      <xdr:row>0</xdr:row>
      <xdr:rowOff>0</xdr:rowOff>
    </xdr:from>
    <xdr:to>
      <xdr:col>42</xdr:col>
      <xdr:colOff>564</xdr:colOff>
      <xdr:row>3</xdr:row>
      <xdr:rowOff>0</xdr:rowOff>
    </xdr:to>
    <xdr:grpSp>
      <xdr:nvGrpSpPr>
        <xdr:cNvPr id="11" name="Group 10">
          <a:extLst>
            <a:ext uri="{FF2B5EF4-FFF2-40B4-BE49-F238E27FC236}">
              <a16:creationId xmlns:a16="http://schemas.microsoft.com/office/drawing/2014/main" id="{B2127BD8-DC66-5E78-9107-EA3050AA9663}"/>
            </a:ext>
          </a:extLst>
        </xdr:cNvPr>
        <xdr:cNvGrpSpPr/>
      </xdr:nvGrpSpPr>
      <xdr:grpSpPr>
        <a:xfrm>
          <a:off x="3056036" y="0"/>
          <a:ext cx="22547728" cy="548640"/>
          <a:chOff x="22413" y="22412"/>
          <a:chExt cx="22334943" cy="560717"/>
        </a:xfrm>
      </xdr:grpSpPr>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334943" cy="560717"/>
          </a:xfrm>
          <a:prstGeom prst="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Analysis Dashboard</a:t>
            </a:r>
            <a:endParaRPr lang="en-ZA" sz="2800" b="1" u="none">
              <a:solidFill>
                <a:schemeClr val="tx1"/>
              </a:solidFill>
            </a:endParaRPr>
          </a:p>
        </xdr:txBody>
      </xdr:sp>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49647" cy="533461"/>
          </a:xfrm>
          <a:prstGeom prst="rect">
            <a:avLst/>
          </a:prstGeom>
          <a:noFill/>
          <a:ln>
            <a:noFill/>
          </a:ln>
        </xdr:spPr>
      </xdr:pic>
    </xdr:grpSp>
    <xdr:clientData/>
  </xdr:twoCellAnchor>
  <xdr:twoCellAnchor>
    <xdr:from>
      <xdr:col>12</xdr:col>
      <xdr:colOff>576829</xdr:colOff>
      <xdr:row>6</xdr:row>
      <xdr:rowOff>177079</xdr:rowOff>
    </xdr:from>
    <xdr:to>
      <xdr:col>21</xdr:col>
      <xdr:colOff>576830</xdr:colOff>
      <xdr:row>23</xdr:row>
      <xdr:rowOff>185440</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550362</xdr:colOff>
      <xdr:row>6</xdr:row>
      <xdr:rowOff>152728</xdr:rowOff>
    </xdr:from>
    <xdr:to>
      <xdr:col>31</xdr:col>
      <xdr:colOff>590949</xdr:colOff>
      <xdr:row>23</xdr:row>
      <xdr:rowOff>95317</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589471</xdr:colOff>
      <xdr:row>28</xdr:row>
      <xdr:rowOff>109800</xdr:rowOff>
    </xdr:from>
    <xdr:to>
      <xdr:col>26</xdr:col>
      <xdr:colOff>586432</xdr:colOff>
      <xdr:row>52</xdr:row>
      <xdr:rowOff>169271</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20237</xdr:colOff>
      <xdr:row>25</xdr:row>
      <xdr:rowOff>157438</xdr:rowOff>
    </xdr:from>
    <xdr:to>
      <xdr:col>26</xdr:col>
      <xdr:colOff>592968</xdr:colOff>
      <xdr:row>28</xdr:row>
      <xdr:rowOff>115076</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7870275" y="4830080"/>
          <a:ext cx="8422768"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Top Products of the Month</a:t>
          </a:r>
        </a:p>
      </xdr:txBody>
    </xdr:sp>
    <xdr:clientData/>
  </xdr:twoCellAnchor>
  <xdr:twoCellAnchor>
    <xdr:from>
      <xdr:col>4</xdr:col>
      <xdr:colOff>589472</xdr:colOff>
      <xdr:row>25</xdr:row>
      <xdr:rowOff>159728</xdr:rowOff>
    </xdr:from>
    <xdr:to>
      <xdr:col>12</xdr:col>
      <xdr:colOff>19221</xdr:colOff>
      <xdr:row>52</xdr:row>
      <xdr:rowOff>146587</xdr:rowOff>
    </xdr:to>
    <xdr:grpSp>
      <xdr:nvGrpSpPr>
        <xdr:cNvPr id="16" name="Group 15">
          <a:extLst>
            <a:ext uri="{FF2B5EF4-FFF2-40B4-BE49-F238E27FC236}">
              <a16:creationId xmlns:a16="http://schemas.microsoft.com/office/drawing/2014/main" id="{0238F9C9-7FE9-CCB9-0373-EB319F40BE49}"/>
            </a:ext>
          </a:extLst>
        </xdr:cNvPr>
        <xdr:cNvGrpSpPr/>
      </xdr:nvGrpSpPr>
      <xdr:grpSpPr>
        <a:xfrm>
          <a:off x="3027872" y="4731728"/>
          <a:ext cx="4306549" cy="4924619"/>
          <a:chOff x="0" y="4529005"/>
          <a:chExt cx="4300799" cy="4849806"/>
        </a:xfrm>
      </xdr:grpSpPr>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5902754"/>
              <a:ext cx="4300799" cy="855984"/>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08520" y="6079282"/>
                <a:ext cx="4267844" cy="86227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4269" y="6767228"/>
              <a:ext cx="4296530" cy="855982"/>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012756" y="6950106"/>
                <a:ext cx="4263608" cy="8622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26" y="7633419"/>
              <a:ext cx="4300772" cy="891146"/>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3008546" y="7822660"/>
                <a:ext cx="4267817" cy="86352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432" y="5029867"/>
              <a:ext cx="4282629" cy="855983"/>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3008949" y="5199983"/>
                <a:ext cx="4249813" cy="86227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2549" y="8522828"/>
              <a:ext cx="4298250" cy="855983"/>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011049" y="8718602"/>
                <a:ext cx="4265315" cy="86227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 name="Rectangle 1">
            <a:extLst>
              <a:ext uri="{FF2B5EF4-FFF2-40B4-BE49-F238E27FC236}">
                <a16:creationId xmlns:a16="http://schemas.microsoft.com/office/drawing/2014/main" id="{EDF370E7-A90F-4DAE-B746-ADE9B571236B}"/>
              </a:ext>
            </a:extLst>
          </xdr:cNvPr>
          <xdr:cNvSpPr/>
        </xdr:nvSpPr>
        <xdr:spPr>
          <a:xfrm>
            <a:off x="7388" y="4529005"/>
            <a:ext cx="4288035" cy="48911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Filter By:</a:t>
            </a:r>
          </a:p>
        </xdr:txBody>
      </xdr:sp>
    </xdr:grpSp>
    <xdr:clientData/>
  </xdr:twoCellAnchor>
  <xdr:twoCellAnchor>
    <xdr:from>
      <xdr:col>27</xdr:col>
      <xdr:colOff>590082</xdr:colOff>
      <xdr:row>28</xdr:row>
      <xdr:rowOff>118363</xdr:rowOff>
    </xdr:from>
    <xdr:to>
      <xdr:col>41</xdr:col>
      <xdr:colOff>603583</xdr:colOff>
      <xdr:row>52</xdr:row>
      <xdr:rowOff>182408</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593605</xdr:colOff>
      <xdr:row>25</xdr:row>
      <xdr:rowOff>160463</xdr:rowOff>
    </xdr:from>
    <xdr:to>
      <xdr:col>41</xdr:col>
      <xdr:colOff>599632</xdr:colOff>
      <xdr:row>28</xdr:row>
      <xdr:rowOff>118101</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16897530" y="4833105"/>
          <a:ext cx="8459913"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Salesperson Performance</a:t>
          </a:r>
        </a:p>
      </xdr:txBody>
    </xdr:sp>
    <xdr:clientData/>
  </xdr:twoCellAnchor>
  <xdr:twoCellAnchor>
    <xdr:from>
      <xdr:col>32</xdr:col>
      <xdr:colOff>585063</xdr:colOff>
      <xdr:row>6</xdr:row>
      <xdr:rowOff>168751</xdr:rowOff>
    </xdr:from>
    <xdr:to>
      <xdr:col>42</xdr:col>
      <xdr:colOff>16103</xdr:colOff>
      <xdr:row>23</xdr:row>
      <xdr:rowOff>113743</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589474</xdr:colOff>
      <xdr:row>3</xdr:row>
      <xdr:rowOff>186424</xdr:rowOff>
    </xdr:from>
    <xdr:to>
      <xdr:col>11</xdr:col>
      <xdr:colOff>595171</xdr:colOff>
      <xdr:row>23</xdr:row>
      <xdr:rowOff>19151</xdr:rowOff>
    </xdr:to>
    <xdr:grpSp>
      <xdr:nvGrpSpPr>
        <xdr:cNvPr id="10" name="Group 9">
          <a:extLst>
            <a:ext uri="{FF2B5EF4-FFF2-40B4-BE49-F238E27FC236}">
              <a16:creationId xmlns:a16="http://schemas.microsoft.com/office/drawing/2014/main" id="{30E6B6D0-D054-361A-73E0-33D35ADDCD6F}"/>
            </a:ext>
          </a:extLst>
        </xdr:cNvPr>
        <xdr:cNvGrpSpPr/>
      </xdr:nvGrpSpPr>
      <xdr:grpSpPr>
        <a:xfrm>
          <a:off x="3027874" y="735064"/>
          <a:ext cx="4272897" cy="3490327"/>
          <a:chOff x="2" y="769553"/>
          <a:chExt cx="4232641" cy="3570840"/>
        </a:xfrm>
      </xdr:grpSpPr>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4677" y="769553"/>
            <a:ext cx="4222386" cy="1220833"/>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 </a:t>
            </a:r>
          </a:p>
          <a:p>
            <a:pPr algn="ctr"/>
            <a:fld id="{1487D781-EC85-44F9-BD03-BF5F1C979E13}" type="TxLink">
              <a:rPr lang="en-US" sz="32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2" y="1878990"/>
            <a:ext cx="4232641" cy="1227577"/>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3200" b="1" i="0" u="none" strike="noStrike">
                <a:solidFill>
                  <a:schemeClr val="tx1"/>
                </a:solidFill>
                <a:latin typeface="Calibri"/>
                <a:ea typeface="Calibri"/>
                <a:cs typeface="Calibri"/>
              </a:rPr>
              <a:pPr algn="ctr"/>
              <a:t>159</a:t>
            </a:fld>
            <a:endParaRPr lang="en-ZA" sz="2000" b="1">
              <a:solidFill>
                <a:schemeClr val="tx1"/>
              </a:solidFill>
            </a:endParaRPr>
          </a:p>
        </xdr:txBody>
      </xdr:sp>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9952" y="3113585"/>
            <a:ext cx="4222688" cy="1226808"/>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3200" b="1" i="0" u="none" strike="noStrike">
                <a:solidFill>
                  <a:schemeClr val="tx1"/>
                </a:solidFill>
                <a:latin typeface="Calibri"/>
                <a:ea typeface="Calibri"/>
                <a:cs typeface="Calibri"/>
              </a:rPr>
              <a:pPr algn="ctr"/>
              <a:t>Phone</a:t>
            </a:fld>
            <a:endParaRPr lang="en-ZA" sz="2000" b="1">
              <a:solidFill>
                <a:schemeClr val="tx1"/>
              </a:solidFill>
            </a:endParaRPr>
          </a:p>
        </xdr:txBody>
      </xdr:sp>
      <xdr:pic>
        <xdr:nvPicPr>
          <xdr:cNvPr id="30" name="Picture 29">
            <a:extLst>
              <a:ext uri="{FF2B5EF4-FFF2-40B4-BE49-F238E27FC236}">
                <a16:creationId xmlns:a16="http://schemas.microsoft.com/office/drawing/2014/main" id="{DFBCD78B-77C2-DA48-57D0-8F4EFABC259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527246" y="1145569"/>
            <a:ext cx="657322" cy="667411"/>
          </a:xfrm>
          <a:prstGeom prst="rect">
            <a:avLst/>
          </a:prstGeom>
        </xdr:spPr>
      </xdr:pic>
      <xdr:pic>
        <xdr:nvPicPr>
          <xdr:cNvPr id="32" name="Picture 31">
            <a:extLst>
              <a:ext uri="{FF2B5EF4-FFF2-40B4-BE49-F238E27FC236}">
                <a16:creationId xmlns:a16="http://schemas.microsoft.com/office/drawing/2014/main" id="{B878F728-F11E-30DD-6827-E09CC315783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580719" y="2354275"/>
            <a:ext cx="617218" cy="627307"/>
          </a:xfrm>
          <a:prstGeom prst="rect">
            <a:avLst/>
          </a:prstGeom>
        </xdr:spPr>
      </xdr:pic>
      <xdr:pic>
        <xdr:nvPicPr>
          <xdr:cNvPr id="34" name="Picture 33">
            <a:extLst>
              <a:ext uri="{FF2B5EF4-FFF2-40B4-BE49-F238E27FC236}">
                <a16:creationId xmlns:a16="http://schemas.microsoft.com/office/drawing/2014/main" id="{9FD191F8-C8DB-596A-3142-3938E68BE8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549924" y="3568210"/>
            <a:ext cx="661620" cy="694539"/>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47.435376620371"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6">
        <s v="John"/>
        <s v="Mary"/>
        <s v="David"/>
        <s v="Sarah"/>
        <s v=""/>
        <s v="Unknown" u="1"/>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4:G6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8">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3">
          <reference field="4294967294" count="1" selected="0">
            <x v="0"/>
          </reference>
          <reference field="2" count="1" selected="0">
            <x v="0"/>
          </reference>
          <reference field="11" count="1" selected="0">
            <x v="3"/>
          </reference>
        </references>
      </pivotArea>
    </chartFormat>
    <chartFormat chart="2" format="12">
      <pivotArea type="data" outline="0" fieldPosition="0">
        <references count="3">
          <reference field="4294967294" count="1" selected="0">
            <x v="0"/>
          </reference>
          <reference field="2"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Monthl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64:F7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pivotField axis="axisRow" showAll="0">
      <items count="7">
        <item x="2"/>
        <item x="0"/>
        <item x="1"/>
        <item x="3"/>
        <item m="1" x="5"/>
        <item x="4"/>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5"/>
    </i>
    <i t="grand">
      <x/>
    </i>
  </rowItems>
  <colFields count="3">
    <field x="11"/>
    <field x="10"/>
    <field x="9"/>
  </colFields>
  <colItems count="5">
    <i>
      <x v="1"/>
    </i>
    <i>
      <x v="2"/>
    </i>
    <i>
      <x v="3"/>
    </i>
    <i>
      <x v="4"/>
    </i>
    <i t="grand">
      <x/>
    </i>
  </colItems>
  <dataFields count="1">
    <dataField name="Sum of revenue" fld="8" baseField="0" baseItem="0"/>
  </dataFields>
  <chartFormats count="17">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 chart="3" format="16">
      <pivotArea type="data" outline="0" fieldPosition="0">
        <references count="3">
          <reference field="4294967294" count="1" selected="0">
            <x v="0"/>
          </reference>
          <reference field="7" count="1" selected="0">
            <x v="5"/>
          </reference>
          <reference field="11" count="1" selected="0">
            <x v="4"/>
          </reference>
        </references>
      </pivotArea>
    </chartFormat>
    <chartFormat chart="3" format="17">
      <pivotArea type="data" outline="0" fieldPosition="0">
        <references count="3">
          <reference field="4294967294" count="1" selected="0">
            <x v="0"/>
          </reference>
          <reference field="7" count="1" selected="0">
            <x v="1"/>
          </reference>
          <reference field="11" count="1" selected="0">
            <x v="3"/>
          </reference>
        </references>
      </pivotArea>
    </chartFormat>
    <chartFormat chart="3" format="18">
      <pivotArea type="data" outline="0" fieldPosition="0">
        <references count="3">
          <reference field="4294967294" count="1" selected="0">
            <x v="0"/>
          </reference>
          <reference field="7" count="1" selected="0">
            <x v="3"/>
          </reference>
          <reference field="11" count="1" selected="0">
            <x v="4"/>
          </reference>
        </references>
      </pivotArea>
    </chartFormat>
    <chartFormat chart="3" format="19">
      <pivotArea type="data" outline="0" fieldPosition="0">
        <references count="3">
          <reference field="4294967294" count="1" selected="0">
            <x v="0"/>
          </reference>
          <reference field="7" count="1" selected="0">
            <x v="3"/>
          </reference>
          <reference field="11" count="1" selected="0">
            <x v="3"/>
          </reference>
        </references>
      </pivotArea>
    </chartFormat>
    <chartFormat chart="3" format="20">
      <pivotArea type="data" outline="0" fieldPosition="0">
        <references count="3">
          <reference field="4294967294" count="1" selected="0">
            <x v="0"/>
          </reference>
          <reference field="7" count="1" selected="0">
            <x v="2"/>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5">
  <location ref="A39:B5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92E6C64-2F9D-443D-AE81-1304DED4A368}" name="Saleperson 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9:B35" firstHeaderRow="1" firstDataRow="1" firstDataCol="1"/>
  <pivotFields count="12">
    <pivotField showAll="0"/>
    <pivotField numFmtId="14" showAll="0"/>
    <pivotField showAll="0">
      <items count="6">
        <item x="4"/>
        <item x="3"/>
        <item x="0"/>
        <item x="1"/>
        <item x="2"/>
        <item t="default"/>
      </items>
    </pivotField>
    <pivotField showAll="0"/>
    <pivotField showAll="0"/>
    <pivotField showAll="0"/>
    <pivotField showAll="0"/>
    <pivotField axis="axisRow" showAll="0">
      <items count="7">
        <item x="2"/>
        <item x="0"/>
        <item x="1"/>
        <item x="3"/>
        <item m="1" x="5"/>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i>
    <i>
      <x v="1"/>
    </i>
    <i>
      <x v="2"/>
    </i>
    <i>
      <x v="3"/>
    </i>
    <i>
      <x v="5"/>
    </i>
    <i t="grand">
      <x/>
    </i>
  </rowItems>
  <colItems count="1">
    <i/>
  </colItems>
  <dataFields count="1">
    <dataField name="Sum of revenu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Monthly"/>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sortOrder="descending">
      <items count="6">
        <i x="3" s="1"/>
        <i x="1" s="1"/>
        <i x="0" s="1"/>
        <i x="2" s="1"/>
        <i x="4" s="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Monthly Revenue Trends"/>
    <pivotTable tabId="2" name="Products of the Month"/>
    <pivotTable tabId="2" name="Sales by Region"/>
    <pivotTable tabId="2" name="Top Performing Products"/>
    <pivotTable tabId="2" name="Salesperson Performance Monthly"/>
    <pivotTable tabId="2" name="Sale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Light5"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Light5"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5"/>
    <tableColumn id="3" xr3:uid="{B49AF3FD-EA94-4A43-9737-C744A534E8DA}" uniqueName="3" name="product" queryTableFieldId="3" dataDxfId="4"/>
    <tableColumn id="4" xr3:uid="{B530BC2A-7636-49F2-92BF-FA9F86CE95D0}" uniqueName="4" name="category" queryTableFieldId="4" dataDxfId="3"/>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2"/>
    <tableColumn id="8" xr3:uid="{27C1F225-7A62-4C0E-95F6-A70381D296EB}" uniqueName="8" name="salesperson" queryTableFieldId="8" dataDxfId="1"/>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Product Category Distribution"/>
    <pivotTable tabId="2" name="Products of the Month"/>
    <pivotTable tabId="2" name="Salesperson Performance Monthly"/>
    <pivotTable tabId="2" name="Top Performing Products"/>
    <pivotTable tabId="2" name="Saleperson Performance"/>
    <pivotTable tabId="2" name="Monthly Revenue Trend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I49" sqref="I49"/>
    </sheetView>
  </sheetViews>
  <sheetFormatPr defaultRowHeight="14.4" x14ac:dyDescent="0.3"/>
  <cols>
    <col min="1" max="1" width="16.5546875" bestFit="1" customWidth="1"/>
    <col min="2" max="2" width="11" bestFit="1" customWidth="1"/>
    <col min="3" max="3" width="10.88671875" bestFit="1" customWidth="1"/>
    <col min="4" max="4" width="11.88671875" bestFit="1" customWidth="1"/>
    <col min="5" max="5" width="11.5546875" bestFit="1" customWidth="1"/>
    <col min="6" max="6" width="8.6640625" bestFit="1" customWidth="1"/>
    <col min="7" max="7" width="9.88671875" bestFit="1" customWidth="1"/>
    <col min="8" max="8" width="14.44140625" bestFit="1" customWidth="1"/>
    <col min="9" max="9" width="11.4414062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38</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38</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73"/>
  <sheetViews>
    <sheetView zoomScale="86" workbookViewId="0">
      <selection activeCell="B41" sqref="B41"/>
    </sheetView>
  </sheetViews>
  <sheetFormatPr defaultRowHeight="14.4" x14ac:dyDescent="0.3"/>
  <cols>
    <col min="1" max="1" width="13.33203125" bestFit="1" customWidth="1"/>
    <col min="2" max="2" width="15" bestFit="1" customWidth="1"/>
    <col min="3" max="5" width="7.109375" bestFit="1" customWidth="1"/>
    <col min="6" max="7" width="11.33203125" bestFit="1" customWidth="1"/>
    <col min="8" max="8" width="16.5546875" bestFit="1" customWidth="1"/>
    <col min="9" max="9" width="9.21875" bestFit="1" customWidth="1"/>
    <col min="10" max="10" width="10.88671875" bestFit="1" customWidth="1"/>
  </cols>
  <sheetData>
    <row r="1" spans="1:6" x14ac:dyDescent="0.3">
      <c r="A1" s="1" t="s">
        <v>25</v>
      </c>
      <c r="B1" t="s">
        <v>27</v>
      </c>
      <c r="F1" s="5" t="s">
        <v>36</v>
      </c>
    </row>
    <row r="2" spans="1:6" x14ac:dyDescent="0.3">
      <c r="A2" s="2" t="s">
        <v>18</v>
      </c>
      <c r="B2" s="7">
        <v>270000</v>
      </c>
    </row>
    <row r="3" spans="1:6" x14ac:dyDescent="0.3">
      <c r="A3" s="2" t="s">
        <v>12</v>
      </c>
      <c r="B3" s="7">
        <v>260500</v>
      </c>
      <c r="F3" s="5" t="s">
        <v>33</v>
      </c>
    </row>
    <row r="4" spans="1:6" x14ac:dyDescent="0.3">
      <c r="A4" s="2" t="s">
        <v>15</v>
      </c>
      <c r="B4" s="7">
        <v>225000</v>
      </c>
      <c r="F4" s="6">
        <f>SUM('clean_sales'!I2:I49)</f>
        <v>903500</v>
      </c>
    </row>
    <row r="5" spans="1:6" x14ac:dyDescent="0.3">
      <c r="A5" s="2" t="s">
        <v>22</v>
      </c>
      <c r="B5" s="7">
        <v>148000</v>
      </c>
    </row>
    <row r="6" spans="1:6" x14ac:dyDescent="0.3">
      <c r="A6" s="2" t="s">
        <v>26</v>
      </c>
      <c r="B6" s="7">
        <v>903500</v>
      </c>
      <c r="F6" s="5" t="s">
        <v>34</v>
      </c>
    </row>
    <row r="7" spans="1:6" x14ac:dyDescent="0.3">
      <c r="F7">
        <f>SUM('clean_sales'!E2:E49)</f>
        <v>159</v>
      </c>
    </row>
    <row r="9" spans="1:6" x14ac:dyDescent="0.3">
      <c r="F9" s="5" t="s">
        <v>35</v>
      </c>
    </row>
    <row r="10" spans="1:6" x14ac:dyDescent="0.3">
      <c r="A10" s="1" t="s">
        <v>25</v>
      </c>
      <c r="B10" t="s">
        <v>27</v>
      </c>
      <c r="F10" t="str">
        <f>INDEX('clean_sales'!G2:G49, MATCH(MAX('clean_sales'!I2:I49), 'clean_sales'!I2:I49, 0))</f>
        <v>North</v>
      </c>
    </row>
    <row r="11" spans="1:6" x14ac:dyDescent="0.3">
      <c r="A11" s="2" t="s">
        <v>24</v>
      </c>
      <c r="B11" s="7">
        <v>58500</v>
      </c>
    </row>
    <row r="12" spans="1:6" x14ac:dyDescent="0.3">
      <c r="A12" s="2" t="s">
        <v>20</v>
      </c>
      <c r="B12" s="7">
        <v>75000</v>
      </c>
      <c r="F12" s="5" t="s">
        <v>37</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26</v>
      </c>
      <c r="B16" s="7">
        <v>903500</v>
      </c>
    </row>
    <row r="20" spans="1:2" x14ac:dyDescent="0.3">
      <c r="A20" s="1" t="s">
        <v>25</v>
      </c>
      <c r="B20" t="s">
        <v>27</v>
      </c>
    </row>
    <row r="21" spans="1:2" x14ac:dyDescent="0.3">
      <c r="A21" s="2" t="s">
        <v>29</v>
      </c>
      <c r="B21" s="7">
        <v>160000</v>
      </c>
    </row>
    <row r="22" spans="1:2" x14ac:dyDescent="0.3">
      <c r="A22" s="2" t="s">
        <v>30</v>
      </c>
      <c r="B22" s="7">
        <v>200500</v>
      </c>
    </row>
    <row r="23" spans="1:2" x14ac:dyDescent="0.3">
      <c r="A23" s="2" t="s">
        <v>31</v>
      </c>
      <c r="B23" s="7">
        <v>271500</v>
      </c>
    </row>
    <row r="24" spans="1:2" x14ac:dyDescent="0.3">
      <c r="A24" s="2" t="s">
        <v>32</v>
      </c>
      <c r="B24" s="7">
        <v>271500</v>
      </c>
    </row>
    <row r="25" spans="1:2" x14ac:dyDescent="0.3">
      <c r="A25" s="2" t="s">
        <v>26</v>
      </c>
      <c r="B25" s="7">
        <v>903500</v>
      </c>
    </row>
    <row r="29" spans="1:2" x14ac:dyDescent="0.3">
      <c r="A29" s="1" t="s">
        <v>25</v>
      </c>
      <c r="B29" t="s">
        <v>27</v>
      </c>
    </row>
    <row r="30" spans="1:2" x14ac:dyDescent="0.3">
      <c r="A30" s="2" t="s">
        <v>19</v>
      </c>
      <c r="B30" s="7">
        <v>270000</v>
      </c>
    </row>
    <row r="31" spans="1:2" x14ac:dyDescent="0.3">
      <c r="A31" s="2" t="s">
        <v>13</v>
      </c>
      <c r="B31" s="7">
        <v>260500</v>
      </c>
    </row>
    <row r="32" spans="1:2" x14ac:dyDescent="0.3">
      <c r="A32" s="2" t="s">
        <v>16</v>
      </c>
      <c r="B32" s="7">
        <v>204000</v>
      </c>
    </row>
    <row r="33" spans="1:2" x14ac:dyDescent="0.3">
      <c r="A33" s="2" t="s">
        <v>23</v>
      </c>
      <c r="B33" s="7">
        <v>148000</v>
      </c>
    </row>
    <row r="34" spans="1:2" x14ac:dyDescent="0.3">
      <c r="A34" s="2"/>
      <c r="B34" s="7">
        <v>21000</v>
      </c>
    </row>
    <row r="35" spans="1:2" x14ac:dyDescent="0.3">
      <c r="A35" s="2" t="s">
        <v>26</v>
      </c>
      <c r="B35" s="7">
        <v>903500</v>
      </c>
    </row>
    <row r="39" spans="1:2" x14ac:dyDescent="0.3">
      <c r="A39" s="1" t="s">
        <v>25</v>
      </c>
      <c r="B39" t="s">
        <v>27</v>
      </c>
    </row>
    <row r="40" spans="1:2" x14ac:dyDescent="0.3">
      <c r="A40" s="2" t="s">
        <v>24</v>
      </c>
      <c r="B40" s="7">
        <v>58500</v>
      </c>
    </row>
    <row r="41" spans="1:2" x14ac:dyDescent="0.3">
      <c r="A41" s="3" t="s">
        <v>21</v>
      </c>
      <c r="B41" s="7">
        <v>58500</v>
      </c>
    </row>
    <row r="42" spans="1:2" x14ac:dyDescent="0.3">
      <c r="A42" s="2" t="s">
        <v>20</v>
      </c>
      <c r="B42" s="7">
        <v>75000</v>
      </c>
    </row>
    <row r="43" spans="1:2" x14ac:dyDescent="0.3">
      <c r="A43" s="3" t="s">
        <v>21</v>
      </c>
      <c r="B43" s="7">
        <v>75000</v>
      </c>
    </row>
    <row r="44" spans="1:2" x14ac:dyDescent="0.3">
      <c r="A44" s="2" t="s">
        <v>10</v>
      </c>
      <c r="B44" s="7">
        <v>180000</v>
      </c>
    </row>
    <row r="45" spans="1:2" x14ac:dyDescent="0.3">
      <c r="A45" s="3" t="s">
        <v>11</v>
      </c>
      <c r="B45" s="7">
        <v>180000</v>
      </c>
    </row>
    <row r="46" spans="1:2" x14ac:dyDescent="0.3">
      <c r="A46" s="2" t="s">
        <v>14</v>
      </c>
      <c r="B46" s="7">
        <v>440000</v>
      </c>
    </row>
    <row r="47" spans="1:2" x14ac:dyDescent="0.3">
      <c r="A47" s="3" t="s">
        <v>11</v>
      </c>
      <c r="B47" s="7">
        <v>440000</v>
      </c>
    </row>
    <row r="48" spans="1:2" x14ac:dyDescent="0.3">
      <c r="A48" s="2" t="s">
        <v>17</v>
      </c>
      <c r="B48" s="7">
        <v>150000</v>
      </c>
    </row>
    <row r="49" spans="1:7" x14ac:dyDescent="0.3">
      <c r="A49" s="3" t="s">
        <v>11</v>
      </c>
      <c r="B49" s="7">
        <v>150000</v>
      </c>
    </row>
    <row r="50" spans="1:7" x14ac:dyDescent="0.3">
      <c r="A50" s="2" t="s">
        <v>26</v>
      </c>
      <c r="B50" s="7">
        <v>903500</v>
      </c>
    </row>
    <row r="54" spans="1:7" x14ac:dyDescent="0.3">
      <c r="A54" s="1" t="s">
        <v>27</v>
      </c>
      <c r="B54" s="1" t="s">
        <v>28</v>
      </c>
    </row>
    <row r="55" spans="1:7" x14ac:dyDescent="0.3">
      <c r="A55" s="1" t="s">
        <v>25</v>
      </c>
      <c r="B55" t="s">
        <v>24</v>
      </c>
      <c r="C55" t="s">
        <v>20</v>
      </c>
      <c r="D55" t="s">
        <v>10</v>
      </c>
      <c r="E55" t="s">
        <v>14</v>
      </c>
      <c r="F55" t="s">
        <v>17</v>
      </c>
      <c r="G55" t="s">
        <v>26</v>
      </c>
    </row>
    <row r="56" spans="1:7" x14ac:dyDescent="0.3">
      <c r="A56" s="2" t="s">
        <v>29</v>
      </c>
      <c r="B56" s="7"/>
      <c r="C56" s="7">
        <v>6000</v>
      </c>
      <c r="D56" s="7">
        <v>36000</v>
      </c>
      <c r="E56" s="7">
        <v>88000</v>
      </c>
      <c r="F56" s="7">
        <v>30000</v>
      </c>
      <c r="G56" s="7">
        <v>160000</v>
      </c>
    </row>
    <row r="57" spans="1:7" x14ac:dyDescent="0.3">
      <c r="A57" s="2" t="s">
        <v>30</v>
      </c>
      <c r="B57" s="7">
        <v>22500</v>
      </c>
      <c r="C57" s="7">
        <v>24000</v>
      </c>
      <c r="D57" s="7">
        <v>36000</v>
      </c>
      <c r="E57" s="7">
        <v>88000</v>
      </c>
      <c r="F57" s="7">
        <v>30000</v>
      </c>
      <c r="G57" s="7">
        <v>200500</v>
      </c>
    </row>
    <row r="58" spans="1:7" x14ac:dyDescent="0.3">
      <c r="A58" s="2" t="s">
        <v>31</v>
      </c>
      <c r="B58" s="7">
        <v>22500</v>
      </c>
      <c r="C58" s="7">
        <v>21000</v>
      </c>
      <c r="D58" s="7">
        <v>60000</v>
      </c>
      <c r="E58" s="7">
        <v>120000</v>
      </c>
      <c r="F58" s="7">
        <v>48000</v>
      </c>
      <c r="G58" s="7">
        <v>271500</v>
      </c>
    </row>
    <row r="59" spans="1:7" x14ac:dyDescent="0.3">
      <c r="A59" s="2" t="s">
        <v>32</v>
      </c>
      <c r="B59" s="7">
        <v>13500</v>
      </c>
      <c r="C59" s="7">
        <v>24000</v>
      </c>
      <c r="D59" s="7">
        <v>48000</v>
      </c>
      <c r="E59" s="7">
        <v>144000</v>
      </c>
      <c r="F59" s="7">
        <v>42000</v>
      </c>
      <c r="G59" s="7">
        <v>271500</v>
      </c>
    </row>
    <row r="60" spans="1:7" x14ac:dyDescent="0.3">
      <c r="A60" s="2" t="s">
        <v>26</v>
      </c>
      <c r="B60" s="7">
        <v>58500</v>
      </c>
      <c r="C60" s="7">
        <v>75000</v>
      </c>
      <c r="D60" s="7">
        <v>180000</v>
      </c>
      <c r="E60" s="7">
        <v>440000</v>
      </c>
      <c r="F60" s="7">
        <v>150000</v>
      </c>
      <c r="G60" s="7">
        <v>903500</v>
      </c>
    </row>
    <row r="64" spans="1:7" x14ac:dyDescent="0.3">
      <c r="A64" s="1" t="s">
        <v>27</v>
      </c>
      <c r="B64" s="1" t="s">
        <v>28</v>
      </c>
    </row>
    <row r="65" spans="1:6" x14ac:dyDescent="0.3">
      <c r="B65" t="s">
        <v>29</v>
      </c>
      <c r="C65" t="s">
        <v>30</v>
      </c>
      <c r="D65" t="s">
        <v>31</v>
      </c>
      <c r="E65" t="s">
        <v>32</v>
      </c>
      <c r="F65" t="s">
        <v>26</v>
      </c>
    </row>
    <row r="67" spans="1:6" x14ac:dyDescent="0.3">
      <c r="A67" s="1" t="s">
        <v>25</v>
      </c>
    </row>
    <row r="68" spans="1:6" x14ac:dyDescent="0.3">
      <c r="A68" s="2" t="s">
        <v>19</v>
      </c>
      <c r="B68" s="7">
        <v>66000</v>
      </c>
      <c r="C68" s="7">
        <v>36000</v>
      </c>
      <c r="D68" s="7">
        <v>96000</v>
      </c>
      <c r="E68" s="7">
        <v>72000</v>
      </c>
      <c r="F68" s="7">
        <v>270000</v>
      </c>
    </row>
    <row r="69" spans="1:6" x14ac:dyDescent="0.3">
      <c r="A69" s="2" t="s">
        <v>13</v>
      </c>
      <c r="B69" s="7">
        <v>30000</v>
      </c>
      <c r="C69" s="7">
        <v>81500</v>
      </c>
      <c r="D69" s="7">
        <v>55500</v>
      </c>
      <c r="E69" s="7">
        <v>93500</v>
      </c>
      <c r="F69" s="7">
        <v>260500</v>
      </c>
    </row>
    <row r="70" spans="1:6" x14ac:dyDescent="0.3">
      <c r="A70" s="2" t="s">
        <v>16</v>
      </c>
      <c r="B70" s="7">
        <v>52000</v>
      </c>
      <c r="C70" s="7">
        <v>21000</v>
      </c>
      <c r="D70" s="7">
        <v>70000</v>
      </c>
      <c r="E70" s="7">
        <v>61000</v>
      </c>
      <c r="F70" s="7">
        <v>204000</v>
      </c>
    </row>
    <row r="71" spans="1:6" x14ac:dyDescent="0.3">
      <c r="A71" s="2" t="s">
        <v>23</v>
      </c>
      <c r="B71" s="7">
        <v>12000</v>
      </c>
      <c r="C71" s="7">
        <v>53000</v>
      </c>
      <c r="D71" s="7">
        <v>50000</v>
      </c>
      <c r="E71" s="7">
        <v>33000</v>
      </c>
      <c r="F71" s="7">
        <v>148000</v>
      </c>
    </row>
    <row r="72" spans="1:6" x14ac:dyDescent="0.3">
      <c r="A72" s="2"/>
      <c r="B72" s="7"/>
      <c r="C72" s="7">
        <v>9000</v>
      </c>
      <c r="D72" s="7"/>
      <c r="E72" s="7">
        <v>12000</v>
      </c>
      <c r="F72" s="7">
        <v>21000</v>
      </c>
    </row>
    <row r="73" spans="1:6" x14ac:dyDescent="0.3">
      <c r="A73" s="2" t="s">
        <v>26</v>
      </c>
      <c r="B73" s="7">
        <v>160000</v>
      </c>
      <c r="C73" s="7">
        <v>200500</v>
      </c>
      <c r="D73" s="7">
        <v>271500</v>
      </c>
      <c r="E73" s="7">
        <v>271500</v>
      </c>
      <c r="F7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zoomScale="50" zoomScaleNormal="63" zoomScaleSheetLayoutView="41" workbookViewId="0">
      <selection activeCell="AQ47" sqref="AQ47"/>
    </sheetView>
  </sheetViews>
  <sheetFormatPr defaultRowHeight="14.4" x14ac:dyDescent="0.3"/>
  <sheetData/>
  <pageMargins left="0.7" right="0.7" top="0.75" bottom="0.75" header="0.3" footer="0.3"/>
  <pageSetup paperSize="9" scale="3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2026-05-07T13:44:03Z</dcterms:modified>
</cp:coreProperties>
</file>