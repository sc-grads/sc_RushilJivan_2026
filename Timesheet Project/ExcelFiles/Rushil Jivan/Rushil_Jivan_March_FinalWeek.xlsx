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c_RushilJivan_2026\Timesheet Project\ExcelFiles\Rushil Jivan\"/>
    </mc:Choice>
  </mc:AlternateContent>
  <xr:revisionPtr revIDLastSave="0" documentId="13_ncr:1_{F22B68ED-63B6-4B13-A3B9-548E98661F89}" xr6:coauthVersionLast="47" xr6:coauthVersionMax="47" xr10:uidLastSave="{00000000-0000-0000-0000-000000000000}"/>
  <bookViews>
    <workbookView xWindow="-108" yWindow="-108" windowWidth="23256" windowHeight="12456" activeTab="5" xr2:uid="{1C8F8026-B005-4B08-94D3-371A77F74D8F}"/>
  </bookViews>
  <sheets>
    <sheet name="Oct" sheetId="10" r:id="rId1"/>
    <sheet name="Nov" sheetId="1" r:id="rId2"/>
    <sheet name="Dec" sheetId="3" r:id="rId3"/>
    <sheet name="Jan" sheetId="4" r:id="rId4"/>
    <sheet name="Feb" sheetId="5" r:id="rId5"/>
    <sheet name="Mar" sheetId="6" r:id="rId6"/>
    <sheet name="Expense Claim" sheetId="8" r:id="rId7"/>
    <sheet name="Leave" sheetId="9" r:id="rId8"/>
    <sheet name="Key" sheetId="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6" l="1"/>
  <c r="H60" i="6"/>
  <c r="H56" i="6"/>
  <c r="H54" i="6"/>
  <c r="H52" i="6"/>
  <c r="H50" i="6"/>
  <c r="H48" i="6"/>
  <c r="H44" i="6"/>
  <c r="H42" i="6"/>
  <c r="H40" i="6"/>
  <c r="H38" i="6"/>
  <c r="H36" i="6"/>
  <c r="H35" i="6" l="1"/>
  <c r="H32" i="6"/>
  <c r="H30" i="6"/>
  <c r="H28" i="6"/>
  <c r="H27" i="6"/>
  <c r="H25" i="6"/>
  <c r="H19" i="6"/>
  <c r="H17" i="6"/>
  <c r="H15" i="6"/>
  <c r="H14" i="6"/>
  <c r="H11" i="6"/>
  <c r="H23" i="6"/>
  <c r="H22" i="6"/>
  <c r="F45" i="10"/>
  <c r="H10" i="5"/>
  <c r="H9" i="3"/>
  <c r="F40" i="1"/>
  <c r="H9" i="1"/>
  <c r="H11" i="1"/>
  <c r="F41" i="10"/>
  <c r="H39" i="4"/>
  <c r="H15" i="1"/>
  <c r="D14" i="9"/>
  <c r="F17" i="8"/>
  <c r="B6" i="8" s="1"/>
  <c r="F42" i="5"/>
  <c r="F41" i="5"/>
  <c r="H9" i="10" l="1"/>
  <c r="F44" i="10" s="1"/>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4"/>
  <c r="H31" i="3"/>
  <c r="F44" i="1"/>
  <c r="F46" i="10" l="1"/>
  <c r="B6" i="10"/>
  <c r="H12" i="4"/>
  <c r="F45" i="4"/>
  <c r="H10" i="4"/>
  <c r="F44" i="4" s="1"/>
  <c r="H62" i="6"/>
  <c r="H9" i="5"/>
  <c r="F41" i="4"/>
  <c r="H11" i="4"/>
  <c r="H32" i="3"/>
  <c r="H39" i="3"/>
  <c r="H9" i="6"/>
  <c r="F43" i="1" l="1"/>
  <c r="H17" i="4"/>
  <c r="H18" i="4"/>
  <c r="H16" i="4"/>
  <c r="H15" i="4"/>
  <c r="H14" i="4"/>
  <c r="H13" i="4"/>
  <c r="H38" i="3"/>
  <c r="H37" i="3"/>
  <c r="H36" i="3"/>
  <c r="H16" i="6" l="1"/>
  <c r="H18" i="6"/>
  <c r="H20" i="6"/>
  <c r="H21" i="6"/>
  <c r="H24" i="6"/>
  <c r="H26" i="6"/>
  <c r="H29" i="6"/>
  <c r="H31" i="6"/>
  <c r="H33" i="6"/>
  <c r="H34" i="6"/>
  <c r="H37" i="6"/>
  <c r="H39" i="6"/>
  <c r="H41" i="6"/>
  <c r="H43" i="6"/>
  <c r="H45" i="6"/>
  <c r="H46" i="6"/>
  <c r="H47" i="6"/>
  <c r="H49" i="6"/>
  <c r="H51" i="6"/>
  <c r="H53" i="6"/>
  <c r="H55" i="6"/>
  <c r="H57" i="6"/>
  <c r="H58" i="6"/>
  <c r="H59" i="6"/>
  <c r="H11" i="5"/>
  <c r="H12" i="5"/>
  <c r="H13" i="5"/>
  <c r="H14" i="5"/>
  <c r="H15" i="5"/>
  <c r="H16" i="5"/>
  <c r="H17" i="5"/>
  <c r="H18" i="5"/>
  <c r="H19" i="5"/>
  <c r="H20" i="5"/>
  <c r="H21" i="5"/>
  <c r="H22" i="5"/>
  <c r="H23" i="5"/>
  <c r="H24" i="5"/>
  <c r="H25" i="5"/>
  <c r="H26" i="5"/>
  <c r="H27" i="5"/>
  <c r="H28" i="5"/>
  <c r="H29" i="5"/>
  <c r="H30" i="5"/>
  <c r="H31" i="5"/>
  <c r="H32" i="5"/>
  <c r="H33" i="5"/>
  <c r="H34" i="5"/>
  <c r="H35" i="5"/>
  <c r="H36"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F45" i="3" s="1"/>
  <c r="H25" i="3"/>
  <c r="H26" i="3"/>
  <c r="H27" i="3"/>
  <c r="H28" i="3"/>
  <c r="H29" i="3"/>
  <c r="H30" i="3"/>
  <c r="H33" i="3"/>
  <c r="H34" i="3"/>
  <c r="H35" i="3"/>
  <c r="H10" i="1"/>
  <c r="H12" i="1"/>
  <c r="H13" i="1"/>
  <c r="H14" i="1"/>
  <c r="H16" i="1"/>
  <c r="H17" i="1"/>
  <c r="H18" i="1"/>
  <c r="H19" i="1"/>
  <c r="H20" i="1"/>
  <c r="H21" i="1"/>
  <c r="H22" i="1"/>
  <c r="H23" i="1"/>
  <c r="H24" i="1"/>
  <c r="H25" i="1"/>
  <c r="H26" i="1"/>
  <c r="H27" i="1"/>
  <c r="H28" i="1"/>
  <c r="H29" i="1"/>
  <c r="H30" i="1"/>
  <c r="H31" i="1"/>
  <c r="H32" i="1"/>
  <c r="H33" i="1"/>
  <c r="H34" i="1"/>
  <c r="H35" i="1"/>
  <c r="H36" i="1"/>
  <c r="H37" i="1"/>
  <c r="H38" i="1"/>
  <c r="H10" i="6" l="1"/>
  <c r="H12" i="6"/>
  <c r="F64" i="6"/>
  <c r="H13" i="6"/>
  <c r="H10" i="3"/>
  <c r="F44" i="3" s="1"/>
  <c r="H11" i="3"/>
  <c r="H12" i="3"/>
  <c r="H13" i="3"/>
  <c r="F38" i="5"/>
  <c r="F41" i="3"/>
  <c r="F67" i="6" l="1"/>
  <c r="F68" i="6"/>
  <c r="F46" i="4"/>
  <c r="F43" i="5"/>
  <c r="B6" i="5"/>
  <c r="B6" i="4"/>
  <c r="F46" i="3"/>
  <c r="B6" i="3"/>
  <c r="F45" i="1"/>
  <c r="B6" i="1"/>
  <c r="F69" i="6" l="1"/>
  <c r="B6" i="6"/>
</calcChain>
</file>

<file path=xl/sharedStrings.xml><?xml version="1.0" encoding="utf-8"?>
<sst xmlns="http://schemas.openxmlformats.org/spreadsheetml/2006/main" count="762" uniqueCount="275">
  <si>
    <t>Date</t>
  </si>
  <si>
    <t>D of Week</t>
  </si>
  <si>
    <t>Consultant</t>
  </si>
  <si>
    <t>Client</t>
  </si>
  <si>
    <t>Client Project Name</t>
  </si>
  <si>
    <t>Description</t>
  </si>
  <si>
    <t>Billable or Non Billable</t>
  </si>
  <si>
    <t>Comments</t>
  </si>
  <si>
    <t>Total Hours</t>
  </si>
  <si>
    <t>Start Time</t>
  </si>
  <si>
    <t>End Time</t>
  </si>
  <si>
    <t>Friday</t>
  </si>
  <si>
    <t>Bhavesh</t>
  </si>
  <si>
    <t>Billable</t>
  </si>
  <si>
    <t>Saturday</t>
  </si>
  <si>
    <t>Non-Billable</t>
  </si>
  <si>
    <t>Sunday</t>
  </si>
  <si>
    <t>Monday</t>
  </si>
  <si>
    <t>Tuesday</t>
  </si>
  <si>
    <t>Wednesday</t>
  </si>
  <si>
    <t>Thursday</t>
  </si>
  <si>
    <t>Forcasted Hours</t>
  </si>
  <si>
    <t>Forcasted Work Days this month</t>
  </si>
  <si>
    <t>Line Manager :</t>
  </si>
  <si>
    <t>Billable Hours</t>
  </si>
  <si>
    <t>Contractor:</t>
  </si>
  <si>
    <t>Non Billable Hours</t>
  </si>
  <si>
    <t>Total of All Hours</t>
  </si>
  <si>
    <t>Plus: Hours worked, not claimed</t>
  </si>
  <si>
    <t>Resource</t>
  </si>
  <si>
    <t>Recording Cvs on Workbook Sheet</t>
  </si>
  <si>
    <t>.NET code</t>
  </si>
  <si>
    <t>Placing Cvs in Templates</t>
  </si>
  <si>
    <t>Admin</t>
  </si>
  <si>
    <t>Charles</t>
  </si>
  <si>
    <t>Screening</t>
  </si>
  <si>
    <t>Analysis</t>
  </si>
  <si>
    <t>Ravi</t>
  </si>
  <si>
    <t>Headhunting</t>
  </si>
  <si>
    <t>Architecture</t>
  </si>
  <si>
    <t>Interviews</t>
  </si>
  <si>
    <t>Training</t>
  </si>
  <si>
    <t>Joseph</t>
  </si>
  <si>
    <t>Fixed Assets</t>
  </si>
  <si>
    <t>Configuration</t>
  </si>
  <si>
    <t>Recruitment Work</t>
  </si>
  <si>
    <t>Cubes</t>
  </si>
  <si>
    <t>Avinash</t>
  </si>
  <si>
    <t>Team Meeting</t>
  </si>
  <si>
    <t>Database</t>
  </si>
  <si>
    <t>Recruitment team meeting</t>
  </si>
  <si>
    <t>Demo</t>
  </si>
  <si>
    <t>Deployment</t>
  </si>
  <si>
    <t>Design</t>
  </si>
  <si>
    <t>Documentation</t>
  </si>
  <si>
    <t>Sanele</t>
  </si>
  <si>
    <t>Events</t>
  </si>
  <si>
    <t>Discovery</t>
  </si>
  <si>
    <t>ETL</t>
  </si>
  <si>
    <t>FrontEnd</t>
  </si>
  <si>
    <t>Installing</t>
  </si>
  <si>
    <t>Edmond</t>
  </si>
  <si>
    <t>Meeting</t>
  </si>
  <si>
    <t>Lunch</t>
  </si>
  <si>
    <t>Other</t>
  </si>
  <si>
    <t>Kavish</t>
  </si>
  <si>
    <t>Presenting</t>
  </si>
  <si>
    <t>Shaila</t>
  </si>
  <si>
    <t>Project Management</t>
  </si>
  <si>
    <t>Research</t>
  </si>
  <si>
    <t>Sales call</t>
  </si>
  <si>
    <t>SharePoint</t>
  </si>
  <si>
    <t>Albert</t>
  </si>
  <si>
    <t>Testing</t>
  </si>
  <si>
    <t>Travel</t>
  </si>
  <si>
    <t>Eugene</t>
  </si>
  <si>
    <t>Troubleshooting</t>
  </si>
  <si>
    <t>Waiting on client</t>
  </si>
  <si>
    <t>Aubrey</t>
  </si>
  <si>
    <t>Michelin</t>
  </si>
  <si>
    <t>Website content</t>
  </si>
  <si>
    <t>Website and collateral</t>
  </si>
  <si>
    <t>Annual Leave</t>
  </si>
  <si>
    <t>Angela</t>
  </si>
  <si>
    <t>OK Furnitures</t>
  </si>
  <si>
    <t>Sick leave</t>
  </si>
  <si>
    <t>Study Leave</t>
  </si>
  <si>
    <t>Siemon</t>
  </si>
  <si>
    <t>Family Responsibility Leave</t>
  </si>
  <si>
    <t>Birthday leave</t>
  </si>
  <si>
    <t>Public Holiday</t>
  </si>
  <si>
    <t>Sachar Mobile</t>
  </si>
  <si>
    <t>Zola</t>
  </si>
  <si>
    <t>Total Billable Hours</t>
  </si>
  <si>
    <t>Type</t>
  </si>
  <si>
    <t>ZAR COST</t>
  </si>
  <si>
    <t xml:space="preserve">TOTAL </t>
  </si>
  <si>
    <t>Type of Leave</t>
  </si>
  <si>
    <t>Start Date</t>
  </si>
  <si>
    <t>End Date</t>
  </si>
  <si>
    <t xml:space="preserve">Number of days </t>
  </si>
  <si>
    <t>Approval Obtained</t>
  </si>
  <si>
    <t>Sick Note</t>
  </si>
  <si>
    <t>Address and Telephone Number during Annual Leave</t>
  </si>
  <si>
    <t>Employee Signature</t>
  </si>
  <si>
    <t>Client Signature</t>
  </si>
  <si>
    <t>Sarah</t>
  </si>
  <si>
    <t>Human Rights Day</t>
  </si>
  <si>
    <t>Example</t>
  </si>
  <si>
    <t>Detailed Description of task(s) done</t>
  </si>
  <si>
    <t>Day of Reconciliation</t>
  </si>
  <si>
    <t>Christmas</t>
  </si>
  <si>
    <t>Boxing Day</t>
  </si>
  <si>
    <t>Engelina</t>
  </si>
  <si>
    <t>Hamerl</t>
  </si>
  <si>
    <t>SBV</t>
  </si>
  <si>
    <t>Shaylin</t>
  </si>
  <si>
    <t>Amanda</t>
  </si>
  <si>
    <t>Ian</t>
  </si>
  <si>
    <t>Public holiday</t>
  </si>
  <si>
    <t>Work</t>
  </si>
  <si>
    <t>ADVTech</t>
  </si>
  <si>
    <t>Base 3</t>
  </si>
  <si>
    <t>Dentons</t>
  </si>
  <si>
    <t>Discovery People</t>
  </si>
  <si>
    <t>Fayruz</t>
  </si>
  <si>
    <t>Yes</t>
  </si>
  <si>
    <t>No</t>
  </si>
  <si>
    <t>Lehlohonolo</t>
  </si>
  <si>
    <t>Sahur</t>
  </si>
  <si>
    <t>Vincent</t>
  </si>
  <si>
    <t>Phone</t>
  </si>
  <si>
    <t>WiFi</t>
  </si>
  <si>
    <t>Internal Sambe</t>
  </si>
  <si>
    <t>AFA Sasfin</t>
  </si>
  <si>
    <t>Artist Proof Studio</t>
  </si>
  <si>
    <t>Assimil8 - AGA</t>
  </si>
  <si>
    <t>WiFi / Internet / Data</t>
  </si>
  <si>
    <t>C. Steinweg</t>
  </si>
  <si>
    <t>Conekt AGSA SharePoint</t>
  </si>
  <si>
    <t>Bihaag</t>
  </si>
  <si>
    <t>Conekt – Meridian</t>
  </si>
  <si>
    <t>Boaz</t>
  </si>
  <si>
    <t>Conekt – Altron - AGSA</t>
  </si>
  <si>
    <t>Conekt – Clientele</t>
  </si>
  <si>
    <t>Clement</t>
  </si>
  <si>
    <t>Conekt – Winning Business</t>
  </si>
  <si>
    <t xml:space="preserve">David </t>
  </si>
  <si>
    <t>Conekt – Internal Meeting</t>
  </si>
  <si>
    <t>Diederik</t>
  </si>
  <si>
    <t>Diptendubala</t>
  </si>
  <si>
    <t>Discovery Information Governance and Security</t>
  </si>
  <si>
    <t>Elijah</t>
  </si>
  <si>
    <t>Discovery Bank</t>
  </si>
  <si>
    <t>Elrida</t>
  </si>
  <si>
    <t>Discovery CSI</t>
  </si>
  <si>
    <t>Discovery Health</t>
  </si>
  <si>
    <t xml:space="preserve">Discovery Skills </t>
  </si>
  <si>
    <t>Discovery Vitality</t>
  </si>
  <si>
    <t>Gyro</t>
  </si>
  <si>
    <t>Healthforce</t>
  </si>
  <si>
    <t>Juan</t>
  </si>
  <si>
    <t>KFC Digistics</t>
  </si>
  <si>
    <t>Medi-Charge</t>
  </si>
  <si>
    <t>MICA Build</t>
  </si>
  <si>
    <t>Lazarus</t>
  </si>
  <si>
    <t>Mistro Foods</t>
  </si>
  <si>
    <t>Olympic Paints</t>
  </si>
  <si>
    <t xml:space="preserve">Ndivhudzannyi </t>
  </si>
  <si>
    <t>RMB CM Data Warehouse support</t>
  </si>
  <si>
    <t>RMB CORE NRTI</t>
  </si>
  <si>
    <t>Pranav</t>
  </si>
  <si>
    <t>RMB Liesha</t>
  </si>
  <si>
    <t>RMB Tumelo</t>
  </si>
  <si>
    <t>Rivashan</t>
  </si>
  <si>
    <t>Sibanya</t>
  </si>
  <si>
    <t>Transport Holdings</t>
  </si>
  <si>
    <t>Tatenda</t>
  </si>
  <si>
    <t>Timothy</t>
  </si>
  <si>
    <t>Tutu</t>
  </si>
  <si>
    <t>Yazeed</t>
  </si>
  <si>
    <t xml:space="preserve">Yugeshin </t>
  </si>
  <si>
    <t>Nagendra</t>
  </si>
  <si>
    <t>Total Claim</t>
  </si>
  <si>
    <t>Details</t>
  </si>
  <si>
    <t>Expense Description</t>
  </si>
  <si>
    <t>Vodacom (Example line)</t>
  </si>
  <si>
    <t xml:space="preserve">Do not add the R symbol when capturing the amount. Use the comma not the full stop. </t>
  </si>
  <si>
    <t>Month</t>
  </si>
  <si>
    <t>MTN (Example line)</t>
  </si>
  <si>
    <t>Afrihost (Example line)</t>
  </si>
  <si>
    <t>Please select applicable Leave and state number of days</t>
  </si>
  <si>
    <t>Date From</t>
  </si>
  <si>
    <t>Date To</t>
  </si>
  <si>
    <t>Tyson</t>
  </si>
  <si>
    <t xml:space="preserve">Andile </t>
  </si>
  <si>
    <t>Brian</t>
  </si>
  <si>
    <t>Ernest</t>
  </si>
  <si>
    <t>Evashan</t>
  </si>
  <si>
    <t>Itumeleng</t>
  </si>
  <si>
    <t>Iviwe</t>
  </si>
  <si>
    <t>Jubhele</t>
  </si>
  <si>
    <t>Karabo</t>
  </si>
  <si>
    <t>Karusha</t>
  </si>
  <si>
    <t>Keown</t>
  </si>
  <si>
    <t>Kiaan</t>
  </si>
  <si>
    <t xml:space="preserve">Lucky </t>
  </si>
  <si>
    <t xml:space="preserve">Mamello </t>
  </si>
  <si>
    <t>Muzuvukile</t>
  </si>
  <si>
    <t>Nathalia</t>
  </si>
  <si>
    <t>Neo</t>
  </si>
  <si>
    <t>Ongeziwe</t>
  </si>
  <si>
    <t>Owen</t>
  </si>
  <si>
    <t xml:space="preserve">Pascal  </t>
  </si>
  <si>
    <t xml:space="preserve">Siphenathi </t>
  </si>
  <si>
    <t>Siyakhanya</t>
  </si>
  <si>
    <t>Suryansh</t>
  </si>
  <si>
    <t>Tendo</t>
  </si>
  <si>
    <t>Thabang</t>
  </si>
  <si>
    <t>Thapelo</t>
  </si>
  <si>
    <t>Dipthi</t>
  </si>
  <si>
    <t>Immaculate</t>
  </si>
  <si>
    <t>Life Healthcare</t>
  </si>
  <si>
    <t>Sanlam</t>
  </si>
  <si>
    <t>Annual Leave - Half day</t>
  </si>
  <si>
    <t>Sick Leave - Half day</t>
  </si>
  <si>
    <t>Pogiso</t>
  </si>
  <si>
    <t>RMB</t>
  </si>
  <si>
    <t>Jashmeen</t>
  </si>
  <si>
    <t>Rushil</t>
  </si>
  <si>
    <t>Attended Standup meeting and discussed the way forward regarding presentations. Attended Timesheet and CV training with Angela. Had meeting with Clement to practice our presentation</t>
  </si>
  <si>
    <t>Continued to practice for the presentation. Continued with research task on Database Management Systems. Attended Retrospective meeting and discussed Version Control Systems</t>
  </si>
  <si>
    <t xml:space="preserve">Welcome and Onboarding completed in the morning. </t>
  </si>
  <si>
    <t>Cotinued with Admin work (Discovery registration and MIE), worked on Dreamboard assignment.</t>
  </si>
  <si>
    <t>Standup meeting with Clement, discussed research topics.</t>
  </si>
  <si>
    <t>Completed some research work, Attended Graduate and Mentor Meet-up session.</t>
  </si>
  <si>
    <t xml:space="preserve">Attended Standup meeting, discussed research topics. </t>
  </si>
  <si>
    <t>Onboarding day, Dreamboard presentation. Tasked with Data Management Presentation.</t>
  </si>
  <si>
    <t>Continued with research work and Data Management presentation.</t>
  </si>
  <si>
    <t>Worked on Data management Presentation.</t>
  </si>
  <si>
    <t>Attended Standup meeting, discussed Presentation and new research topic (Database Management Systems). Met with group to prepare for presenation and finish the presentation.</t>
  </si>
  <si>
    <t>Continued with the presentation and attended Retropective meeting where we met previous graduates and networked.</t>
  </si>
  <si>
    <t>Standup meeting discussing presentation conflict, life lessons and quotes, Got more research topics (Documentation, Project Management, Git, Naming Conventions). Midday check in meeting, checked on final presentation with fixes. Covered Version Control Systems.</t>
  </si>
  <si>
    <t>Worked on Database Management Systems research topic, Worked on last weeks Timesheet and submitted, Retrospective meeting with Bongani where we discussed Version Control Systems and any queries with the topic, Continued with research topics, Completed Documentation, Working with Project Management.</t>
  </si>
  <si>
    <t>Attended Standup meeting and discussed blockers, Accepted Discovery Document and signed, Finalised and sent in Personal Details form, Worked on research topic Project Management, Attended Midday check in meeting with Clement.</t>
  </si>
  <si>
    <t>Filled in Discovery Intern Agreement and sorted out Documents, Continued working with Project Management, refining research on Confluence and Jira</t>
  </si>
  <si>
    <t>Left to certify documents and continued to fill in intern agreement. Continued with research topics, attended Retrospective meeting, discussed Project Management and afterwards continued to work on research topics and understanding of them</t>
  </si>
  <si>
    <t>Standup meeting with Clement, we discussed Git, worked with Git after the meeting, did some research on Github</t>
  </si>
  <si>
    <t>Working with Git practically, completing Git research. Attended Retrospective meeting where we disucssed Project Management in depth covering Agile and Waterfall, Scrum and Kanban.</t>
  </si>
  <si>
    <t>Attended Standup meeting with Clement where we discussed what we did yesterday and if we encountered any blockers. Midday check in we discussed Scrum and Kanban on a practical level and practiced our Data Management Presentation.</t>
  </si>
  <si>
    <t>Continued practice for our Data Management Presentation as information needed to be cut down, Worked on research for Database Management Systems to finish the topic up.</t>
  </si>
  <si>
    <t>Attended Standup meeting with Clement. New topics were discussed and assigned for the week. Worked on and finished Git and Github Practice task. Started research on topics. Attended Midday check in where we did presentation practice and received feedback, consulted with Kayden for presention feedback.</t>
  </si>
  <si>
    <t>Watched video on Git and Github, continued with research topics for the week (Waterfall vs Agile), Had meeting with my presentation team where we refined our speech, cut down on content to be within the time limit and perfected it. Attended Retrospective meeting and discussed Agile vs Waterfall.</t>
  </si>
  <si>
    <t>Standup meeting with Clement included discussing research topics, what topics we covered yesterday, our blockers and what we would cover today. I continued to work on my topics for the day as well as had a practice session with my team for our presentation. Midday meeting was a check-up on what we did for the day and a last practice session with Clement regarding our presentation.</t>
  </si>
  <si>
    <t>Continued with the youtube video on Git and Github. Practiced our presentation as a team one more time before presenting to senior management, where we received feedback on how to present and what we should fix. We met with Bongani afterwards and discussed our presentation.</t>
  </si>
  <si>
    <t>Stand up with Clement, we discussed work done yesterday, blockers and what we plan on doing for today. Today I will work on Transaction Databases and Encryption and Github Actions research topics. Im continuing with my Git and Github Youtube tutorial. Midday meeting consisted of discussing SQL vs NoSQL research topic. Had a short meeting with my graduate group to discuss the way forward regarding our presentation</t>
  </si>
  <si>
    <t>Continued with my Github tutorial video and making notes on it. Met with my graduate group to discuss the presentation and who will present what topic. We set up our powerpoint and shared. Worked on research topics and Git/Github tutorial. During Retrospective meeting, i was asked to take the class. We covered Naming Conventions, we worked through the topic together and then spoke about our Git tutorial experience so far.</t>
  </si>
  <si>
    <t>Stand up meeting consisted of discussing research covered yesterday and if any blockers were encountered. Continued with research on introduction to DevOps, which concludes research for the week. Continued with the tutorial on Git and Github.</t>
  </si>
  <si>
    <t>Met with graduate group to discuss our presentation. We continued to work on our powerpoint presentation, I then continued with my Git tutorial. Retrospective meeting was just the graduates covering ACID properties.</t>
  </si>
  <si>
    <t>Stand up meeting was discussing work from previous day, blockers and work for today. I completed my research on DevOps, continued with the Git tutorial and worked on group presentation. Today I am continuing with my Git tutorial and will be finished with it today.</t>
  </si>
  <si>
    <t>Meeting with Angela discussing payment for this month. Continue with Data Management presentation and Git tutorial. Retrospective Meeting included a social discussion with Bongani, previous grads and assistance and advice with the graduate programme.</t>
  </si>
  <si>
    <t>Standup meeting today comprised discussing new topics that we will cover on Udemy. Excel, Python and Linux Fundamentals. Had a one on one session with Clement.</t>
  </si>
  <si>
    <t>Practiced group presentation on Data Management, then met with Clement to set up our Udemy Sambe account after acquiring the licensed account. We started over with the content being covered and Linux is the topic we are working on first. Retrospective meeting was discussing Linux with Bongani and what to cover and how to go about doing it. I had a one on one meeting with Bongani.</t>
  </si>
  <si>
    <t>Attended Standup meeting. After Standup, worked on Linux udemy course. At midday meeting we discussed Linux Commands.</t>
  </si>
  <si>
    <t>Met with my group to practice our presentation on Data Management. Refined the presentation, touched up and fixed all the errors, we invited Pascal to review our presentation and give feedback. Retrospective meeting with Bongani consisted of presentation feedback as well. Met with group again to fix up on final few things on the presentation.</t>
  </si>
  <si>
    <t>Standup included a small chat and progress update with the Linux course. Continued with the Linux course. Midday we continued our discussion on Linux.</t>
  </si>
  <si>
    <t>Met with team to practice data management presention and perfect it. Continued with Linux course until presentation time. For the presentation, we received feedback and got a new topic due to present on Friday on SDLC. Retrospective meeting with Bongani continued and we discussed our challenges with the course.</t>
  </si>
  <si>
    <t xml:space="preserve">Continued with course and set to finish today. Stand up meeting we discussed deadlines on our project and our new presentation. Met with group to prepare for new presentation. We decided what points to cover. Midday check in we covered Linux Course and went over key elements. </t>
  </si>
  <si>
    <t>Continuing with Linux course, made progress and almost finished with the course. Worked with the team to finish up everything on the Application development lifecycle presentation and included practicing the presentation. Meeting with Bongani we discussed Linux</t>
  </si>
  <si>
    <t>Standup meeting we signed up on a website to complete a tutorial on Git during our midday session. We presented our Application development lifecycle presentation which went well. Did the Git tutorial with the team and Clement. Completed my Sambe CV.</t>
  </si>
  <si>
    <t>Continued and completed the Git tutorial from the midday session on my own. Started with the Excel Udemy course. Recapped on Softskills youtube video. Completed admin work. Retrospective meeting today consisted of discussing Softskills, Principles to Success by Ray Dalio. We watched the video and discussed afterwards.</t>
  </si>
  <si>
    <t>Continued with Excel course throughout the afternoon. Retrospective meeting consisted of continuing the Excel topic and discussion of what we did so far.</t>
  </si>
  <si>
    <t>Attended Morning stand-up and discussed topics for this week. Had a short conversation with Clement after the meting. Excel for beginners course is due this week so I worked on that today. Midday session we discussed what we covered so far in Excel.</t>
  </si>
  <si>
    <t>Continued with Excel course today. Met with Clement in the morning and for midday session. Midday session was a continued discussion on the excel course.</t>
  </si>
  <si>
    <t>Finished Section 4, 5 and 6 of the course. Retrospective meeting with Bongani we continued the discussion on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</si>
</sst>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s>
  <cellStyleXfs count="1">
    <xf numFmtId="0" fontId="0" fillId="0" borderId="0"/>
  </cellStyleXfs>
  <cellXfs count="149">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7"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7" xfId="0" applyNumberFormat="1" applyFont="1" applyBorder="1" applyAlignment="1">
      <alignment horizontal="right" wrapText="1"/>
    </xf>
    <xf numFmtId="49" fontId="8" fillId="0" borderId="8" xfId="0" applyNumberFormat="1" applyFont="1" applyBorder="1" applyAlignment="1">
      <alignment vertical="top"/>
    </xf>
    <xf numFmtId="0" fontId="1" fillId="0" borderId="9" xfId="0" applyFont="1" applyBorder="1"/>
    <xf numFmtId="164" fontId="3" fillId="0" borderId="8" xfId="0" applyNumberFormat="1" applyFont="1" applyBorder="1" applyAlignment="1">
      <alignment horizontal="right" wrapText="1"/>
    </xf>
    <xf numFmtId="0" fontId="1" fillId="0" borderId="10" xfId="0" applyFont="1" applyBorder="1"/>
    <xf numFmtId="0" fontId="9" fillId="0" borderId="11" xfId="0" applyFont="1" applyBorder="1" applyAlignment="1">
      <alignment horizontal="left"/>
    </xf>
    <xf numFmtId="0" fontId="3" fillId="0" borderId="12" xfId="0" applyFont="1" applyBorder="1" applyAlignment="1">
      <alignment wrapText="1"/>
    </xf>
    <xf numFmtId="14" fontId="4" fillId="0" borderId="6" xfId="0" applyNumberFormat="1" applyFont="1" applyBorder="1"/>
    <xf numFmtId="0" fontId="4" fillId="0" borderId="0" xfId="0" applyFont="1"/>
    <xf numFmtId="0" fontId="13" fillId="4" borderId="13" xfId="0" applyFont="1" applyFill="1" applyBorder="1"/>
    <xf numFmtId="0" fontId="13" fillId="4" borderId="14" xfId="0" applyFont="1" applyFill="1" applyBorder="1"/>
    <xf numFmtId="0" fontId="13" fillId="4" borderId="14"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2"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4" xfId="0" applyFont="1" applyFill="1" applyBorder="1" applyAlignment="1">
      <alignment wrapText="1"/>
    </xf>
    <xf numFmtId="0" fontId="13" fillId="4" borderId="15" xfId="0" applyFont="1" applyFill="1" applyBorder="1" applyAlignment="1">
      <alignment horizontal="center" wrapText="1"/>
    </xf>
    <xf numFmtId="164" fontId="3" fillId="0" borderId="19"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6" xfId="0" applyFont="1" applyFill="1" applyBorder="1"/>
    <xf numFmtId="0" fontId="11" fillId="0" borderId="16" xfId="0" applyFont="1" applyBorder="1"/>
    <xf numFmtId="0" fontId="15" fillId="9" borderId="17" xfId="0" applyFont="1" applyFill="1" applyBorder="1"/>
    <xf numFmtId="0" fontId="15" fillId="8" borderId="18" xfId="0" applyFont="1" applyFill="1" applyBorder="1"/>
    <xf numFmtId="0" fontId="15" fillId="8" borderId="0" xfId="0" applyFont="1" applyFill="1"/>
    <xf numFmtId="0" fontId="15" fillId="9" borderId="18"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9" borderId="0" xfId="0" applyFont="1" applyFill="1" applyProtection="1">
      <protection locked="0"/>
    </xf>
    <xf numFmtId="0" fontId="11" fillId="0" borderId="38" xfId="0" applyFont="1" applyBorder="1"/>
    <xf numFmtId="165" fontId="4" fillId="0" borderId="0" xfId="0" applyNumberFormat="1" applyFont="1"/>
    <xf numFmtId="165" fontId="4" fillId="0" borderId="0" xfId="0" applyNumberFormat="1" applyFont="1" applyAlignment="1">
      <alignment wrapText="1"/>
    </xf>
    <xf numFmtId="0" fontId="17" fillId="13" borderId="37" xfId="0" applyFont="1" applyFill="1" applyBorder="1" applyAlignment="1">
      <alignment horizontal="left" wrapText="1" readingOrder="1"/>
    </xf>
    <xf numFmtId="0" fontId="17" fillId="0" borderId="37" xfId="0" applyFont="1" applyBorder="1" applyAlignment="1">
      <alignment horizontal="left"/>
    </xf>
    <xf numFmtId="0" fontId="17" fillId="0" borderId="37" xfId="0" applyFont="1" applyBorder="1"/>
    <xf numFmtId="0" fontId="17" fillId="0" borderId="6" xfId="0" applyFont="1" applyBorder="1" applyAlignment="1">
      <alignment horizontal="left"/>
    </xf>
    <xf numFmtId="0" fontId="17" fillId="0" borderId="6" xfId="0" applyFont="1" applyBorder="1"/>
    <xf numFmtId="0" fontId="17" fillId="0" borderId="27" xfId="0" applyFont="1" applyBorder="1"/>
    <xf numFmtId="0" fontId="11" fillId="12" borderId="16" xfId="0" applyFont="1" applyFill="1" applyBorder="1"/>
    <xf numFmtId="164" fontId="4" fillId="2" borderId="0" xfId="0" applyNumberFormat="1" applyFont="1" applyFill="1" applyAlignment="1">
      <alignment wrapText="1"/>
    </xf>
    <xf numFmtId="14" fontId="4" fillId="0" borderId="9"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3" xfId="0" applyNumberFormat="1" applyFont="1" applyFill="1" applyBorder="1" applyAlignment="1">
      <alignment horizontal="center" vertical="center"/>
    </xf>
    <xf numFmtId="167" fontId="4" fillId="0" borderId="26" xfId="0" applyNumberFormat="1" applyFont="1" applyBorder="1" applyAlignment="1">
      <alignment horizontal="center" vertical="center"/>
    </xf>
    <xf numFmtId="17" fontId="4" fillId="0" borderId="24"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9"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3" xfId="0" applyFont="1" applyBorder="1" applyAlignment="1">
      <alignment horizontal="center" vertical="center" wrapText="1"/>
    </xf>
    <xf numFmtId="0" fontId="12" fillId="0" borderId="33"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Font="1" applyBorder="1"/>
    <xf numFmtId="0" fontId="4" fillId="0" borderId="30" xfId="0" applyFont="1" applyBorder="1"/>
    <xf numFmtId="0" fontId="4" fillId="0" borderId="31" xfId="0" applyFont="1" applyBorder="1"/>
    <xf numFmtId="0" fontId="12" fillId="0" borderId="0" xfId="0" applyFont="1" applyAlignment="1">
      <alignment vertical="center" wrapText="1"/>
    </xf>
    <xf numFmtId="0" fontId="4" fillId="0" borderId="9" xfId="0" applyFont="1" applyBorder="1" applyAlignment="1">
      <alignment vertical="center" wrapText="1"/>
    </xf>
    <xf numFmtId="0" fontId="17" fillId="12" borderId="37" xfId="0" applyFont="1" applyFill="1" applyBorder="1" applyAlignment="1">
      <alignment horizontal="left"/>
    </xf>
    <xf numFmtId="0" fontId="17" fillId="12" borderId="37" xfId="0" applyFont="1" applyFill="1" applyBorder="1" applyAlignment="1">
      <alignment horizontal="left" vertical="center" wrapText="1"/>
    </xf>
    <xf numFmtId="0" fontId="18" fillId="12" borderId="37" xfId="0" applyFont="1" applyFill="1" applyBorder="1" applyAlignment="1">
      <alignment vertical="center"/>
    </xf>
    <xf numFmtId="0" fontId="17" fillId="12" borderId="37" xfId="0" applyFont="1" applyFill="1" applyBorder="1"/>
    <xf numFmtId="0" fontId="17" fillId="12" borderId="45" xfId="0" applyFont="1" applyFill="1" applyBorder="1" applyAlignment="1">
      <alignment horizontal="left"/>
    </xf>
    <xf numFmtId="0" fontId="17" fillId="0" borderId="45" xfId="0" applyFont="1" applyBorder="1"/>
    <xf numFmtId="0" fontId="17" fillId="0" borderId="45" xfId="0" applyFont="1" applyBorder="1" applyAlignment="1">
      <alignment horizontal="left"/>
    </xf>
    <xf numFmtId="0" fontId="17" fillId="12" borderId="45" xfId="0" applyFont="1" applyFill="1" applyBorder="1"/>
    <xf numFmtId="0" fontId="17" fillId="0" borderId="45" xfId="0" applyFont="1" applyBorder="1" applyAlignment="1">
      <alignment horizontal="left" vertical="center" wrapText="1"/>
    </xf>
    <xf numFmtId="0" fontId="17" fillId="12" borderId="43" xfId="0" applyFont="1" applyFill="1" applyBorder="1"/>
    <xf numFmtId="0" fontId="17" fillId="0" borderId="6" xfId="0" applyFont="1" applyBorder="1" applyAlignment="1">
      <alignment horizontal="left" vertical="center" wrapText="1"/>
    </xf>
    <xf numFmtId="0" fontId="17" fillId="12" borderId="6" xfId="0" applyFont="1" applyFill="1" applyBorder="1" applyAlignment="1">
      <alignment horizontal="left"/>
    </xf>
    <xf numFmtId="0" fontId="17" fillId="12" borderId="6" xfId="0" applyFont="1" applyFill="1" applyBorder="1" applyAlignment="1">
      <alignment horizontal="left" vertical="center" wrapText="1"/>
    </xf>
    <xf numFmtId="0" fontId="17" fillId="12" borderId="6" xfId="0" applyFont="1" applyFill="1" applyBorder="1"/>
    <xf numFmtId="0" fontId="17" fillId="12" borderId="43" xfId="0" applyFont="1" applyFill="1" applyBorder="1" applyAlignment="1">
      <alignment horizontal="left" vertical="center" wrapText="1"/>
    </xf>
    <xf numFmtId="0" fontId="17" fillId="0" borderId="44" xfId="0" applyFont="1" applyBorder="1" applyAlignment="1">
      <alignment horizontal="left" vertical="center" wrapText="1"/>
    </xf>
    <xf numFmtId="0" fontId="17" fillId="10" borderId="6" xfId="0" applyFont="1" applyFill="1" applyBorder="1" applyAlignment="1">
      <alignment horizontal="left"/>
    </xf>
    <xf numFmtId="0" fontId="15" fillId="9" borderId="46" xfId="0" applyFont="1" applyFill="1" applyBorder="1"/>
    <xf numFmtId="165" fontId="4" fillId="6" borderId="6" xfId="0" applyNumberFormat="1" applyFont="1" applyFill="1" applyBorder="1"/>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11" borderId="9" xfId="0" applyFont="1" applyFill="1" applyBorder="1" applyAlignment="1">
      <alignment horizontal="center"/>
    </xf>
    <xf numFmtId="0" fontId="4" fillId="11" borderId="0" xfId="0" applyFont="1" applyFill="1" applyAlignment="1">
      <alignment horizontal="center"/>
    </xf>
    <xf numFmtId="0" fontId="4" fillId="5" borderId="40" xfId="0" applyFont="1" applyFill="1" applyBorder="1" applyAlignment="1">
      <alignment horizontal="center" vertical="center"/>
    </xf>
    <xf numFmtId="0" fontId="4" fillId="5" borderId="41" xfId="0" applyFont="1" applyFill="1" applyBorder="1" applyAlignment="1">
      <alignment horizontal="center" vertical="center"/>
    </xf>
    <xf numFmtId="0" fontId="4" fillId="0" borderId="25" xfId="0" applyFont="1" applyBorder="1" applyAlignment="1">
      <alignment horizontal="left" vertical="center"/>
    </xf>
    <xf numFmtId="0" fontId="13" fillId="14" borderId="0" xfId="0" applyFont="1" applyFill="1" applyAlignment="1">
      <alignment horizontal="center"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12" fillId="5" borderId="11" xfId="0" applyFont="1" applyFill="1" applyBorder="1" applyAlignment="1">
      <alignment horizontal="left" vertical="center"/>
    </xf>
    <xf numFmtId="0" fontId="12" fillId="5" borderId="33" xfId="0" applyFont="1" applyFill="1" applyBorder="1" applyAlignment="1">
      <alignment horizontal="left" vertical="center"/>
    </xf>
    <xf numFmtId="0" fontId="12" fillId="5" borderId="22" xfId="0" applyFont="1" applyFill="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2" fillId="0" borderId="0" xfId="0" applyFont="1" applyAlignment="1">
      <alignmen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9" xfId="0" applyFont="1" applyBorder="1" applyAlignment="1">
      <alignment horizontal="center"/>
    </xf>
    <xf numFmtId="0" fontId="4" fillId="0" borderId="34" xfId="0" applyFont="1" applyBorder="1" applyAlignment="1">
      <alignment horizontal="center"/>
    </xf>
    <xf numFmtId="0" fontId="4" fillId="0" borderId="6" xfId="0" applyFont="1" applyBorder="1" applyAlignment="1">
      <alignment horizontal="center"/>
    </xf>
    <xf numFmtId="0" fontId="4" fillId="0" borderId="35" xfId="0" applyFont="1" applyBorder="1" applyAlignment="1">
      <alignment horizontal="center"/>
    </xf>
    <xf numFmtId="0" fontId="4" fillId="0" borderId="32" xfId="0" applyFont="1" applyBorder="1" applyAlignment="1">
      <alignment horizontal="center"/>
    </xf>
    <xf numFmtId="0" fontId="4" fillId="0" borderId="36" xfId="0" applyFont="1" applyBorder="1" applyAlignment="1">
      <alignment horizontal="center"/>
    </xf>
    <xf numFmtId="0" fontId="13" fillId="4" borderId="42"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color rgb="FF000000"/>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78" totalsRowShown="0" headerRowDxfId="102" dataDxfId="101">
  <autoFilter ref="H2:H78"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40" totalsRowShown="0" headerRowDxfId="99" dataDxfId="98" tableBorderDxfId="97">
  <autoFilter ref="F2:F40"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49"/>
  <sheetViews>
    <sheetView topLeftCell="A2" zoomScale="75" zoomScaleNormal="75" workbookViewId="0">
      <selection activeCell="I28" sqref="I28:J28"/>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226</v>
      </c>
      <c r="H5" s="40"/>
    </row>
    <row r="6" spans="1:10" x14ac:dyDescent="0.2">
      <c r="A6" s="37" t="s">
        <v>93</v>
      </c>
      <c r="B6" s="73">
        <f>F44</f>
        <v>0.33333333333333331</v>
      </c>
      <c r="C6" s="37"/>
      <c r="H6" s="40"/>
      <c r="J6" s="41"/>
    </row>
    <row r="7" spans="1:10" x14ac:dyDescent="0.2">
      <c r="A7" s="37"/>
      <c r="B7" s="46"/>
      <c r="C7" s="37"/>
      <c r="D7" s="37"/>
      <c r="E7" s="37"/>
      <c r="H7" s="40"/>
      <c r="J7" s="41"/>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45931</v>
      </c>
      <c r="B9" s="22" t="s">
        <v>19</v>
      </c>
      <c r="C9" s="27" t="s">
        <v>227</v>
      </c>
      <c r="D9" s="27" t="s">
        <v>108</v>
      </c>
      <c r="E9" s="27" t="s">
        <v>31</v>
      </c>
      <c r="F9" s="27" t="s">
        <v>13</v>
      </c>
      <c r="G9" s="28" t="s">
        <v>109</v>
      </c>
      <c r="H9" s="29">
        <f t="shared" ref="H9" si="0">J9-I9</f>
        <v>0.33333333333333331</v>
      </c>
      <c r="I9" s="30">
        <v>0.33333333333333331</v>
      </c>
      <c r="J9" s="30">
        <v>0.66666666666666663</v>
      </c>
    </row>
    <row r="10" spans="1:10" x14ac:dyDescent="0.2">
      <c r="A10" s="22">
        <v>45932</v>
      </c>
      <c r="B10" s="22" t="s">
        <v>20</v>
      </c>
      <c r="C10" s="27"/>
      <c r="D10" s="27"/>
      <c r="E10" s="27"/>
      <c r="F10" s="27"/>
      <c r="G10" s="28"/>
      <c r="H10" s="29">
        <f t="shared" ref="H10:H39" si="1">J10-I10</f>
        <v>0</v>
      </c>
      <c r="I10" s="30"/>
      <c r="J10" s="30"/>
    </row>
    <row r="11" spans="1:10" x14ac:dyDescent="0.2">
      <c r="A11" s="22">
        <v>45933</v>
      </c>
      <c r="B11" s="22" t="s">
        <v>11</v>
      </c>
      <c r="C11" s="27"/>
      <c r="D11" s="27"/>
      <c r="E11" s="27"/>
      <c r="F11" s="27"/>
      <c r="G11" s="28"/>
      <c r="H11" s="29">
        <f t="shared" si="1"/>
        <v>0</v>
      </c>
      <c r="I11" s="30"/>
      <c r="J11" s="30"/>
    </row>
    <row r="12" spans="1:10" x14ac:dyDescent="0.2">
      <c r="A12" s="31">
        <v>45934</v>
      </c>
      <c r="B12" s="31" t="s">
        <v>14</v>
      </c>
      <c r="C12" s="32"/>
      <c r="D12" s="32"/>
      <c r="E12" s="32"/>
      <c r="F12" s="32"/>
      <c r="G12" s="33"/>
      <c r="H12" s="34">
        <f t="shared" si="1"/>
        <v>0</v>
      </c>
      <c r="I12" s="35"/>
      <c r="J12" s="35"/>
    </row>
    <row r="13" spans="1:10" x14ac:dyDescent="0.2">
      <c r="A13" s="31">
        <v>45935</v>
      </c>
      <c r="B13" s="31" t="s">
        <v>16</v>
      </c>
      <c r="C13" s="32"/>
      <c r="D13" s="32"/>
      <c r="E13" s="32"/>
      <c r="F13" s="32"/>
      <c r="G13" s="33"/>
      <c r="H13" s="34">
        <f t="shared" si="1"/>
        <v>0</v>
      </c>
      <c r="I13" s="35"/>
      <c r="J13" s="35"/>
    </row>
    <row r="14" spans="1:10" x14ac:dyDescent="0.2">
      <c r="A14" s="22">
        <v>45936</v>
      </c>
      <c r="B14" s="22" t="s">
        <v>17</v>
      </c>
      <c r="C14" s="27"/>
      <c r="D14" s="27"/>
      <c r="E14" s="27"/>
      <c r="F14" s="27"/>
      <c r="G14" s="28"/>
      <c r="H14" s="29">
        <f t="shared" si="1"/>
        <v>0</v>
      </c>
      <c r="I14" s="30"/>
      <c r="J14" s="30"/>
    </row>
    <row r="15" spans="1:10" x14ac:dyDescent="0.2">
      <c r="A15" s="22">
        <v>45937</v>
      </c>
      <c r="B15" s="22" t="s">
        <v>18</v>
      </c>
      <c r="C15" s="27"/>
      <c r="D15" s="27"/>
      <c r="E15" s="27"/>
      <c r="F15" s="27"/>
      <c r="G15" s="28"/>
      <c r="H15" s="29">
        <f t="shared" si="1"/>
        <v>0</v>
      </c>
      <c r="I15" s="30"/>
      <c r="J15" s="30"/>
    </row>
    <row r="16" spans="1:10" x14ac:dyDescent="0.2">
      <c r="A16" s="22">
        <v>45938</v>
      </c>
      <c r="B16" s="22" t="s">
        <v>19</v>
      </c>
      <c r="C16" s="27"/>
      <c r="D16" s="27"/>
      <c r="E16" s="27"/>
      <c r="F16" s="27"/>
      <c r="G16" s="28"/>
      <c r="H16" s="29">
        <f t="shared" si="1"/>
        <v>0</v>
      </c>
      <c r="I16" s="30"/>
      <c r="J16" s="30"/>
    </row>
    <row r="17" spans="1:10" x14ac:dyDescent="0.2">
      <c r="A17" s="22">
        <v>45939</v>
      </c>
      <c r="B17" s="22" t="s">
        <v>20</v>
      </c>
      <c r="C17" s="27"/>
      <c r="D17" s="27"/>
      <c r="E17" s="27"/>
      <c r="F17" s="27"/>
      <c r="G17" s="28"/>
      <c r="H17" s="29">
        <f t="shared" si="1"/>
        <v>0</v>
      </c>
      <c r="I17" s="30"/>
      <c r="J17" s="30"/>
    </row>
    <row r="18" spans="1:10" x14ac:dyDescent="0.2">
      <c r="A18" s="22">
        <v>45940</v>
      </c>
      <c r="B18" s="22" t="s">
        <v>11</v>
      </c>
      <c r="C18" s="27"/>
      <c r="D18" s="27"/>
      <c r="E18" s="27"/>
      <c r="F18" s="27"/>
      <c r="G18" s="28"/>
      <c r="H18" s="29">
        <f t="shared" si="1"/>
        <v>0</v>
      </c>
      <c r="I18" s="30"/>
      <c r="J18" s="30"/>
    </row>
    <row r="19" spans="1:10" x14ac:dyDescent="0.2">
      <c r="A19" s="31">
        <v>45941</v>
      </c>
      <c r="B19" s="31" t="s">
        <v>14</v>
      </c>
      <c r="C19" s="32"/>
      <c r="D19" s="32"/>
      <c r="E19" s="32"/>
      <c r="F19" s="32"/>
      <c r="G19" s="33"/>
      <c r="H19" s="34">
        <f t="shared" si="1"/>
        <v>0</v>
      </c>
      <c r="I19" s="35"/>
      <c r="J19" s="35"/>
    </row>
    <row r="20" spans="1:10" x14ac:dyDescent="0.2">
      <c r="A20" s="31">
        <v>45942</v>
      </c>
      <c r="B20" s="31" t="s">
        <v>16</v>
      </c>
      <c r="C20" s="32"/>
      <c r="D20" s="32"/>
      <c r="E20" s="32"/>
      <c r="F20" s="32"/>
      <c r="G20" s="33"/>
      <c r="H20" s="34">
        <f t="shared" si="1"/>
        <v>0</v>
      </c>
      <c r="I20" s="35"/>
      <c r="J20" s="35"/>
    </row>
    <row r="21" spans="1:10" x14ac:dyDescent="0.2">
      <c r="A21" s="22">
        <v>45943</v>
      </c>
      <c r="B21" s="22" t="s">
        <v>17</v>
      </c>
      <c r="C21" s="27"/>
      <c r="D21" s="27"/>
      <c r="E21" s="27"/>
      <c r="F21" s="27"/>
      <c r="G21" s="28"/>
      <c r="H21" s="29">
        <f t="shared" si="1"/>
        <v>0</v>
      </c>
      <c r="I21" s="30"/>
      <c r="J21" s="30"/>
    </row>
    <row r="22" spans="1:10" x14ac:dyDescent="0.2">
      <c r="A22" s="22">
        <v>45944</v>
      </c>
      <c r="B22" s="22" t="s">
        <v>18</v>
      </c>
      <c r="C22" s="27"/>
      <c r="D22" s="27"/>
      <c r="E22" s="27"/>
      <c r="F22" s="27"/>
      <c r="G22" s="28"/>
      <c r="H22" s="29">
        <f t="shared" si="1"/>
        <v>0</v>
      </c>
      <c r="I22" s="30"/>
      <c r="J22" s="30"/>
    </row>
    <row r="23" spans="1:10" x14ac:dyDescent="0.2">
      <c r="A23" s="22">
        <v>45945</v>
      </c>
      <c r="B23" s="22" t="s">
        <v>19</v>
      </c>
      <c r="C23" s="27"/>
      <c r="D23" s="27"/>
      <c r="E23" s="27"/>
      <c r="F23" s="27"/>
      <c r="G23" s="28"/>
      <c r="H23" s="29">
        <f t="shared" si="1"/>
        <v>0</v>
      </c>
      <c r="I23" s="30"/>
      <c r="J23" s="30"/>
    </row>
    <row r="24" spans="1:10" x14ac:dyDescent="0.2">
      <c r="A24" s="22">
        <v>45946</v>
      </c>
      <c r="B24" s="22" t="s">
        <v>20</v>
      </c>
      <c r="C24" s="27"/>
      <c r="D24" s="27"/>
      <c r="E24" s="27"/>
      <c r="F24" s="27"/>
      <c r="G24" s="28"/>
      <c r="H24" s="29">
        <f t="shared" si="1"/>
        <v>0</v>
      </c>
      <c r="I24" s="30"/>
      <c r="J24" s="30"/>
    </row>
    <row r="25" spans="1:10" x14ac:dyDescent="0.2">
      <c r="A25" s="22">
        <v>45947</v>
      </c>
      <c r="B25" s="22" t="s">
        <v>11</v>
      </c>
      <c r="C25" s="27"/>
      <c r="D25" s="27"/>
      <c r="E25" s="27"/>
      <c r="F25" s="27"/>
      <c r="G25" s="28"/>
      <c r="H25" s="29">
        <f t="shared" si="1"/>
        <v>0</v>
      </c>
      <c r="I25" s="30"/>
      <c r="J25" s="30"/>
    </row>
    <row r="26" spans="1:10" x14ac:dyDescent="0.2">
      <c r="A26" s="31">
        <v>45948</v>
      </c>
      <c r="B26" s="31" t="s">
        <v>14</v>
      </c>
      <c r="C26" s="32"/>
      <c r="D26" s="32"/>
      <c r="E26" s="32"/>
      <c r="F26" s="32"/>
      <c r="G26" s="33"/>
      <c r="H26" s="34">
        <f t="shared" si="1"/>
        <v>0</v>
      </c>
      <c r="I26" s="35"/>
      <c r="J26" s="35"/>
    </row>
    <row r="27" spans="1:10" x14ac:dyDescent="0.2">
      <c r="A27" s="31">
        <v>45949</v>
      </c>
      <c r="B27" s="31" t="s">
        <v>16</v>
      </c>
      <c r="C27" s="32"/>
      <c r="D27" s="32"/>
      <c r="E27" s="32"/>
      <c r="F27" s="32"/>
      <c r="G27" s="33"/>
      <c r="H27" s="34">
        <f t="shared" si="1"/>
        <v>0</v>
      </c>
      <c r="I27" s="35"/>
      <c r="J27" s="35"/>
    </row>
    <row r="28" spans="1:10" x14ac:dyDescent="0.2">
      <c r="A28" s="22">
        <v>45950</v>
      </c>
      <c r="B28" s="22" t="s">
        <v>17</v>
      </c>
      <c r="C28" s="27"/>
      <c r="D28" s="27"/>
      <c r="E28" s="27"/>
      <c r="F28" s="27"/>
      <c r="G28" s="28"/>
      <c r="H28" s="29">
        <f t="shared" si="1"/>
        <v>0</v>
      </c>
      <c r="I28" s="30"/>
      <c r="J28" s="30"/>
    </row>
    <row r="29" spans="1:10" x14ac:dyDescent="0.2">
      <c r="A29" s="22">
        <v>45951</v>
      </c>
      <c r="B29" s="22" t="s">
        <v>18</v>
      </c>
      <c r="C29" s="27"/>
      <c r="D29" s="27"/>
      <c r="E29" s="27"/>
      <c r="F29" s="27"/>
      <c r="G29" s="28"/>
      <c r="H29" s="29">
        <f t="shared" si="1"/>
        <v>0</v>
      </c>
      <c r="I29" s="30"/>
      <c r="J29" s="30"/>
    </row>
    <row r="30" spans="1:10" x14ac:dyDescent="0.2">
      <c r="A30" s="22">
        <v>45952</v>
      </c>
      <c r="B30" s="22" t="s">
        <v>19</v>
      </c>
      <c r="C30" s="27"/>
      <c r="D30" s="27"/>
      <c r="E30" s="27"/>
      <c r="F30" s="27"/>
      <c r="G30" s="28"/>
      <c r="H30" s="29">
        <f t="shared" si="1"/>
        <v>0</v>
      </c>
      <c r="I30" s="30"/>
      <c r="J30" s="30"/>
    </row>
    <row r="31" spans="1:10" x14ac:dyDescent="0.2">
      <c r="A31" s="22">
        <v>45953</v>
      </c>
      <c r="B31" s="22" t="s">
        <v>20</v>
      </c>
      <c r="C31" s="27"/>
      <c r="D31" s="27"/>
      <c r="E31" s="27"/>
      <c r="F31" s="27"/>
      <c r="G31" s="28"/>
      <c r="H31" s="29">
        <f t="shared" si="1"/>
        <v>0</v>
      </c>
      <c r="I31" s="30"/>
      <c r="J31" s="30"/>
    </row>
    <row r="32" spans="1:10" x14ac:dyDescent="0.2">
      <c r="A32" s="22">
        <v>45954</v>
      </c>
      <c r="B32" s="22" t="s">
        <v>11</v>
      </c>
      <c r="C32" s="27"/>
      <c r="D32" s="27"/>
      <c r="E32" s="27"/>
      <c r="F32" s="27"/>
      <c r="G32" s="28"/>
      <c r="H32" s="29">
        <f t="shared" si="1"/>
        <v>0</v>
      </c>
      <c r="I32" s="30"/>
      <c r="J32" s="30"/>
    </row>
    <row r="33" spans="1:10" x14ac:dyDescent="0.2">
      <c r="A33" s="31">
        <v>45955</v>
      </c>
      <c r="B33" s="31" t="s">
        <v>14</v>
      </c>
      <c r="C33" s="32"/>
      <c r="D33" s="32"/>
      <c r="E33" s="32"/>
      <c r="F33" s="32"/>
      <c r="G33" s="33"/>
      <c r="H33" s="34">
        <f t="shared" si="1"/>
        <v>0</v>
      </c>
      <c r="I33" s="35"/>
      <c r="J33" s="35"/>
    </row>
    <row r="34" spans="1:10" x14ac:dyDescent="0.2">
      <c r="A34" s="31">
        <v>45956</v>
      </c>
      <c r="B34" s="31" t="s">
        <v>16</v>
      </c>
      <c r="C34" s="32"/>
      <c r="D34" s="32"/>
      <c r="E34" s="32"/>
      <c r="F34" s="32"/>
      <c r="G34" s="33"/>
      <c r="H34" s="34">
        <f t="shared" si="1"/>
        <v>0</v>
      </c>
      <c r="I34" s="35"/>
      <c r="J34" s="35"/>
    </row>
    <row r="35" spans="1:10" x14ac:dyDescent="0.2">
      <c r="A35" s="22">
        <v>45957</v>
      </c>
      <c r="B35" s="22" t="s">
        <v>17</v>
      </c>
      <c r="C35" s="27"/>
      <c r="D35" s="27"/>
      <c r="E35" s="27"/>
      <c r="F35" s="27"/>
      <c r="G35" s="28"/>
      <c r="H35" s="29">
        <f t="shared" si="1"/>
        <v>0</v>
      </c>
      <c r="I35" s="30"/>
      <c r="J35" s="30"/>
    </row>
    <row r="36" spans="1:10" x14ac:dyDescent="0.2">
      <c r="A36" s="22">
        <v>45958</v>
      </c>
      <c r="B36" s="22" t="s">
        <v>18</v>
      </c>
      <c r="C36" s="27"/>
      <c r="D36" s="27"/>
      <c r="E36" s="27"/>
      <c r="F36" s="27"/>
      <c r="G36" s="28"/>
      <c r="H36" s="29">
        <f t="shared" si="1"/>
        <v>0</v>
      </c>
      <c r="I36" s="30"/>
      <c r="J36" s="30"/>
    </row>
    <row r="37" spans="1:10" x14ac:dyDescent="0.2">
      <c r="A37" s="22">
        <v>45959</v>
      </c>
      <c r="B37" s="22" t="s">
        <v>19</v>
      </c>
      <c r="C37" s="27"/>
      <c r="D37" s="27"/>
      <c r="E37" s="27"/>
      <c r="F37" s="27"/>
      <c r="G37" s="28"/>
      <c r="H37" s="29">
        <f t="shared" si="1"/>
        <v>0</v>
      </c>
      <c r="I37" s="30"/>
      <c r="J37" s="30"/>
    </row>
    <row r="38" spans="1:10" x14ac:dyDescent="0.2">
      <c r="A38" s="22">
        <v>45960</v>
      </c>
      <c r="B38" s="22" t="s">
        <v>20</v>
      </c>
      <c r="C38" s="27"/>
      <c r="D38" s="27"/>
      <c r="E38" s="27"/>
      <c r="F38" s="27"/>
      <c r="G38" s="28"/>
      <c r="H38" s="29">
        <f t="shared" si="1"/>
        <v>0</v>
      </c>
      <c r="I38" s="30"/>
      <c r="J38" s="30"/>
    </row>
    <row r="39" spans="1:10" ht="13.95" customHeight="1" x14ac:dyDescent="0.2">
      <c r="A39" s="22">
        <v>45961</v>
      </c>
      <c r="B39" s="22" t="s">
        <v>11</v>
      </c>
      <c r="C39" s="27"/>
      <c r="D39" s="27"/>
      <c r="E39" s="27"/>
      <c r="F39" s="27"/>
      <c r="G39" s="28"/>
      <c r="H39" s="29">
        <f t="shared" si="1"/>
        <v>0</v>
      </c>
      <c r="I39" s="30"/>
      <c r="J39" s="30"/>
    </row>
    <row r="40" spans="1:10" ht="13.95" customHeight="1" thickBot="1" x14ac:dyDescent="0.25">
      <c r="A40" s="46"/>
      <c r="B40" s="46"/>
      <c r="G40" s="40"/>
      <c r="H40" s="64"/>
      <c r="I40" s="65"/>
      <c r="J40" s="65"/>
    </row>
    <row r="41" spans="1:10" ht="13.95" customHeight="1" x14ac:dyDescent="0.25">
      <c r="A41" s="4"/>
      <c r="B41" s="4"/>
      <c r="C41" s="5"/>
      <c r="D41" s="6"/>
      <c r="E41" s="7" t="s">
        <v>21</v>
      </c>
      <c r="F41" s="8">
        <f>F42*8</f>
        <v>184</v>
      </c>
      <c r="H41" s="40"/>
    </row>
    <row r="42" spans="1:10" ht="13.95" customHeight="1" thickBot="1" x14ac:dyDescent="0.3">
      <c r="A42" s="4"/>
      <c r="B42" s="4"/>
      <c r="C42" s="9"/>
      <c r="D42" s="2"/>
      <c r="E42" s="10" t="s">
        <v>22</v>
      </c>
      <c r="F42" s="11">
        <v>23</v>
      </c>
      <c r="H42" s="40"/>
    </row>
    <row r="43" spans="1:10" ht="13.95" customHeight="1" thickBot="1" x14ac:dyDescent="0.3">
      <c r="A43" s="117" t="s">
        <v>23</v>
      </c>
      <c r="B43" s="117"/>
      <c r="C43" s="117"/>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8" t="s">
        <v>25</v>
      </c>
      <c r="B45" s="118"/>
      <c r="C45" s="118"/>
      <c r="D45" s="16"/>
      <c r="E45" s="17" t="s">
        <v>26</v>
      </c>
      <c r="F45" s="18">
        <f>SUMIF(F9:F39,"Non-Billable",H9:H39)</f>
        <v>0</v>
      </c>
      <c r="H45" s="40"/>
    </row>
    <row r="46" spans="1:10" ht="14.4" thickBot="1" x14ac:dyDescent="0.3">
      <c r="A46" s="2"/>
      <c r="B46" s="2"/>
      <c r="C46" s="2"/>
      <c r="D46" s="2"/>
      <c r="E46" s="19" t="s">
        <v>27</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49">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41:E41 D43:E45 E48">
    <cfRule type="containsText" dxfId="86" priority="3" operator="containsText" text="Religious Leave">
      <formula>NOT(ISERROR(SEARCH("Religious Leave",D41)))</formula>
    </cfRule>
    <cfRule type="containsText" dxfId="85" priority="4" operator="containsText" text="Birthday Leave">
      <formula>NOT(ISERROR(SEARCH("Birthday Leave",D41)))</formula>
    </cfRule>
    <cfRule type="containsText" dxfId="84" priority="5" operator="containsText" text="Study Leave">
      <formula>NOT(ISERROR(SEARCH("Study Leave",D41)))</formula>
    </cfRule>
    <cfRule type="containsText" dxfId="83" priority="6" operator="containsText" text="Family Responsibility Leave">
      <formula>NOT(ISERROR(SEARCH("Family Responsibility Leave",D41)))</formula>
    </cfRule>
    <cfRule type="containsText" dxfId="82" priority="7" operator="containsText" text="Sick Leave">
      <formula>NOT(ISERROR(SEARCH("Sick Leave",D41)))</formula>
    </cfRule>
    <cfRule type="containsText" dxfId="81" priority="8" operator="containsText" text="Annual Leave">
      <formula>NOT(ISERROR(SEARCH("Annual Leave",D41)))</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40"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Key!$J$3:$J$4</xm:f>
          </x14:formula1>
          <xm:sqref>F9:F40</xm:sqref>
        </x14:dataValidation>
        <x14:dataValidation type="list" allowBlank="1" showInputMessage="1" showErrorMessage="1" xr:uid="{2056345A-D817-415C-BFFF-52AAC88A616B}">
          <x14:formula1>
            <xm:f>Key!$B$2:$B$43</xm:f>
          </x14:formula1>
          <xm:sqref>C9:C40</xm:sqref>
        </x14:dataValidation>
        <x14:dataValidation type="list" allowBlank="1" showInputMessage="1" showErrorMessage="1" xr:uid="{8D174978-0CE3-4483-935A-E2D2B6171911}">
          <x14:formula1>
            <xm:f>Key!$F$3:$F$47</xm:f>
          </x14:formula1>
          <xm:sqref>E9:E40</xm:sqref>
        </x14:dataValidation>
        <x14:dataValidation type="list" allowBlank="1" showInputMessage="1" showErrorMessage="1" xr:uid="{C171C48C-979E-452A-9BA2-E995ACE2BE06}">
          <x14:formula1>
            <xm:f>Key!$H$3:$H$81</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48"/>
  <sheetViews>
    <sheetView zoomScale="75" zoomScaleNormal="75" workbookViewId="0">
      <selection activeCell="B5" sqref="B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F43</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45962</v>
      </c>
      <c r="B9" s="31" t="s">
        <v>14</v>
      </c>
      <c r="C9" s="32"/>
      <c r="D9" s="32"/>
      <c r="E9" s="32"/>
      <c r="F9" s="32"/>
      <c r="G9" s="33"/>
      <c r="H9" s="34">
        <f t="shared" ref="H9:H38" si="0">J9-I9</f>
        <v>0</v>
      </c>
      <c r="I9" s="35"/>
      <c r="J9" s="35"/>
    </row>
    <row r="10" spans="1:10" x14ac:dyDescent="0.2">
      <c r="A10" s="31">
        <v>45963</v>
      </c>
      <c r="B10" s="31" t="s">
        <v>16</v>
      </c>
      <c r="C10" s="32"/>
      <c r="D10" s="32"/>
      <c r="E10" s="32"/>
      <c r="F10" s="32"/>
      <c r="G10" s="33"/>
      <c r="H10" s="34">
        <f t="shared" si="0"/>
        <v>0</v>
      </c>
      <c r="I10" s="35"/>
      <c r="J10" s="35"/>
    </row>
    <row r="11" spans="1:10" x14ac:dyDescent="0.2">
      <c r="A11" s="22">
        <v>45964</v>
      </c>
      <c r="B11" s="22" t="s">
        <v>17</v>
      </c>
      <c r="C11" s="27" t="s">
        <v>133</v>
      </c>
      <c r="D11" s="27" t="s">
        <v>108</v>
      </c>
      <c r="E11" s="27" t="s">
        <v>31</v>
      </c>
      <c r="F11" s="27" t="s">
        <v>13</v>
      </c>
      <c r="G11" s="28" t="s">
        <v>109</v>
      </c>
      <c r="H11" s="29">
        <f t="shared" ref="H11" si="1">J11-I11</f>
        <v>0.33333333333333331</v>
      </c>
      <c r="I11" s="30">
        <v>0.33333333333333331</v>
      </c>
      <c r="J11" s="30">
        <v>0.66666666666666663</v>
      </c>
    </row>
    <row r="12" spans="1:10" x14ac:dyDescent="0.2">
      <c r="A12" s="22">
        <v>45965</v>
      </c>
      <c r="B12" s="22" t="s">
        <v>18</v>
      </c>
      <c r="C12" s="27"/>
      <c r="D12" s="27"/>
      <c r="E12" s="27"/>
      <c r="F12" s="27"/>
      <c r="G12" s="28"/>
      <c r="H12" s="29">
        <f t="shared" si="0"/>
        <v>0</v>
      </c>
      <c r="I12" s="30"/>
      <c r="J12" s="30"/>
    </row>
    <row r="13" spans="1:10" x14ac:dyDescent="0.2">
      <c r="A13" s="22">
        <v>45966</v>
      </c>
      <c r="B13" s="22" t="s">
        <v>19</v>
      </c>
      <c r="C13" s="27"/>
      <c r="D13" s="27"/>
      <c r="E13" s="27"/>
      <c r="F13" s="27"/>
      <c r="G13" s="28"/>
      <c r="H13" s="29">
        <f t="shared" si="0"/>
        <v>0</v>
      </c>
      <c r="I13" s="30"/>
      <c r="J13" s="30"/>
    </row>
    <row r="14" spans="1:10" x14ac:dyDescent="0.2">
      <c r="A14" s="22">
        <v>45967</v>
      </c>
      <c r="B14" s="22" t="s">
        <v>20</v>
      </c>
      <c r="C14" s="27"/>
      <c r="D14" s="27"/>
      <c r="E14" s="27"/>
      <c r="F14" s="27"/>
      <c r="G14" s="28"/>
      <c r="H14" s="29">
        <f t="shared" si="0"/>
        <v>0</v>
      </c>
      <c r="I14" s="30"/>
      <c r="J14" s="30"/>
    </row>
    <row r="15" spans="1:10" x14ac:dyDescent="0.2">
      <c r="A15" s="22">
        <v>45968</v>
      </c>
      <c r="B15" s="22" t="s">
        <v>11</v>
      </c>
      <c r="C15" s="27"/>
      <c r="D15" s="27"/>
      <c r="E15" s="27"/>
      <c r="F15" s="27"/>
      <c r="G15" s="28"/>
      <c r="H15" s="29">
        <f>J15-I15</f>
        <v>0</v>
      </c>
      <c r="I15" s="30"/>
      <c r="J15" s="30"/>
    </row>
    <row r="16" spans="1:10" x14ac:dyDescent="0.2">
      <c r="A16" s="31">
        <v>45969</v>
      </c>
      <c r="B16" s="31" t="s">
        <v>14</v>
      </c>
      <c r="C16" s="32"/>
      <c r="D16" s="32"/>
      <c r="E16" s="32"/>
      <c r="F16" s="32"/>
      <c r="G16" s="33"/>
      <c r="H16" s="34">
        <f t="shared" si="0"/>
        <v>0</v>
      </c>
      <c r="I16" s="35"/>
      <c r="J16" s="35"/>
    </row>
    <row r="17" spans="1:10" x14ac:dyDescent="0.2">
      <c r="A17" s="31">
        <v>45970</v>
      </c>
      <c r="B17" s="31" t="s">
        <v>16</v>
      </c>
      <c r="C17" s="32"/>
      <c r="D17" s="32"/>
      <c r="E17" s="32"/>
      <c r="F17" s="32"/>
      <c r="G17" s="33"/>
      <c r="H17" s="34">
        <f t="shared" si="0"/>
        <v>0</v>
      </c>
      <c r="I17" s="35"/>
      <c r="J17" s="35"/>
    </row>
    <row r="18" spans="1:10" x14ac:dyDescent="0.2">
      <c r="A18" s="22">
        <v>45971</v>
      </c>
      <c r="B18" s="22" t="s">
        <v>17</v>
      </c>
      <c r="C18" s="27"/>
      <c r="D18" s="27"/>
      <c r="E18" s="27"/>
      <c r="F18" s="27"/>
      <c r="G18" s="28"/>
      <c r="H18" s="29">
        <f t="shared" si="0"/>
        <v>0</v>
      </c>
      <c r="I18" s="30"/>
      <c r="J18" s="30"/>
    </row>
    <row r="19" spans="1:10" x14ac:dyDescent="0.2">
      <c r="A19" s="22">
        <v>45972</v>
      </c>
      <c r="B19" s="22" t="s">
        <v>18</v>
      </c>
      <c r="C19" s="27"/>
      <c r="D19" s="27"/>
      <c r="E19" s="27"/>
      <c r="F19" s="27"/>
      <c r="G19" s="28"/>
      <c r="H19" s="29">
        <f t="shared" si="0"/>
        <v>0</v>
      </c>
      <c r="I19" s="30"/>
      <c r="J19" s="30"/>
    </row>
    <row r="20" spans="1:10" x14ac:dyDescent="0.2">
      <c r="A20" s="22">
        <v>45973</v>
      </c>
      <c r="B20" s="22" t="s">
        <v>19</v>
      </c>
      <c r="C20" s="27"/>
      <c r="D20" s="27"/>
      <c r="E20" s="27"/>
      <c r="F20" s="27"/>
      <c r="G20" s="28"/>
      <c r="H20" s="29">
        <f t="shared" si="0"/>
        <v>0</v>
      </c>
      <c r="I20" s="30"/>
      <c r="J20" s="30"/>
    </row>
    <row r="21" spans="1:10" x14ac:dyDescent="0.2">
      <c r="A21" s="22">
        <v>45974</v>
      </c>
      <c r="B21" s="22" t="s">
        <v>20</v>
      </c>
      <c r="C21" s="27"/>
      <c r="D21" s="27"/>
      <c r="E21" s="27"/>
      <c r="F21" s="27"/>
      <c r="G21" s="28"/>
      <c r="H21" s="29">
        <f t="shared" si="0"/>
        <v>0</v>
      </c>
      <c r="I21" s="30"/>
      <c r="J21" s="30"/>
    </row>
    <row r="22" spans="1:10" x14ac:dyDescent="0.2">
      <c r="A22" s="22">
        <v>45975</v>
      </c>
      <c r="B22" s="22" t="s">
        <v>11</v>
      </c>
      <c r="C22" s="27"/>
      <c r="D22" s="27"/>
      <c r="E22" s="27"/>
      <c r="F22" s="27"/>
      <c r="G22" s="28"/>
      <c r="H22" s="29">
        <f t="shared" si="0"/>
        <v>0</v>
      </c>
      <c r="I22" s="30"/>
      <c r="J22" s="30"/>
    </row>
    <row r="23" spans="1:10" x14ac:dyDescent="0.2">
      <c r="A23" s="31">
        <v>45976</v>
      </c>
      <c r="B23" s="31" t="s">
        <v>14</v>
      </c>
      <c r="C23" s="32"/>
      <c r="D23" s="32"/>
      <c r="E23" s="32"/>
      <c r="F23" s="32"/>
      <c r="G23" s="33"/>
      <c r="H23" s="34">
        <f t="shared" si="0"/>
        <v>0</v>
      </c>
      <c r="I23" s="35"/>
      <c r="J23" s="35"/>
    </row>
    <row r="24" spans="1:10" x14ac:dyDescent="0.2">
      <c r="A24" s="31">
        <v>45977</v>
      </c>
      <c r="B24" s="31" t="s">
        <v>16</v>
      </c>
      <c r="C24" s="32"/>
      <c r="D24" s="32"/>
      <c r="E24" s="32"/>
      <c r="F24" s="32"/>
      <c r="G24" s="33"/>
      <c r="H24" s="34">
        <f t="shared" si="0"/>
        <v>0</v>
      </c>
      <c r="I24" s="35"/>
      <c r="J24" s="35"/>
    </row>
    <row r="25" spans="1:10" x14ac:dyDescent="0.2">
      <c r="A25" s="22">
        <v>45978</v>
      </c>
      <c r="B25" s="22" t="s">
        <v>17</v>
      </c>
      <c r="C25" s="27"/>
      <c r="D25" s="27"/>
      <c r="E25" s="27"/>
      <c r="F25" s="27"/>
      <c r="G25" s="28"/>
      <c r="H25" s="29">
        <f t="shared" si="0"/>
        <v>0</v>
      </c>
      <c r="I25" s="30"/>
      <c r="J25" s="30"/>
    </row>
    <row r="26" spans="1:10" x14ac:dyDescent="0.2">
      <c r="A26" s="22">
        <v>45979</v>
      </c>
      <c r="B26" s="22" t="s">
        <v>18</v>
      </c>
      <c r="C26" s="27"/>
      <c r="D26" s="27"/>
      <c r="E26" s="27"/>
      <c r="F26" s="27"/>
      <c r="G26" s="28"/>
      <c r="H26" s="29">
        <f t="shared" si="0"/>
        <v>0</v>
      </c>
      <c r="I26" s="30"/>
      <c r="J26" s="30"/>
    </row>
    <row r="27" spans="1:10" x14ac:dyDescent="0.2">
      <c r="A27" s="22">
        <v>45980</v>
      </c>
      <c r="B27" s="22" t="s">
        <v>19</v>
      </c>
      <c r="C27" s="27"/>
      <c r="D27" s="27"/>
      <c r="E27" s="27"/>
      <c r="F27" s="27"/>
      <c r="G27" s="28"/>
      <c r="H27" s="29">
        <f t="shared" si="0"/>
        <v>0</v>
      </c>
      <c r="I27" s="30"/>
      <c r="J27" s="30"/>
    </row>
    <row r="28" spans="1:10" x14ac:dyDescent="0.2">
      <c r="A28" s="22">
        <v>45981</v>
      </c>
      <c r="B28" s="22" t="s">
        <v>20</v>
      </c>
      <c r="C28" s="27"/>
      <c r="D28" s="27"/>
      <c r="E28" s="27"/>
      <c r="F28" s="27"/>
      <c r="G28" s="28"/>
      <c r="H28" s="29">
        <f t="shared" si="0"/>
        <v>0</v>
      </c>
      <c r="I28" s="30"/>
      <c r="J28" s="30"/>
    </row>
    <row r="29" spans="1:10" x14ac:dyDescent="0.2">
      <c r="A29" s="22">
        <v>45982</v>
      </c>
      <c r="B29" s="22" t="s">
        <v>11</v>
      </c>
      <c r="C29" s="27"/>
      <c r="D29" s="27"/>
      <c r="E29" s="27"/>
      <c r="F29" s="27"/>
      <c r="G29" s="28"/>
      <c r="H29" s="29">
        <f t="shared" si="0"/>
        <v>0</v>
      </c>
      <c r="I29" s="30"/>
      <c r="J29" s="30"/>
    </row>
    <row r="30" spans="1:10" x14ac:dyDescent="0.2">
      <c r="A30" s="31">
        <v>45983</v>
      </c>
      <c r="B30" s="31" t="s">
        <v>14</v>
      </c>
      <c r="C30" s="32"/>
      <c r="D30" s="32"/>
      <c r="E30" s="32"/>
      <c r="F30" s="32"/>
      <c r="G30" s="33"/>
      <c r="H30" s="34">
        <f t="shared" si="0"/>
        <v>0</v>
      </c>
      <c r="I30" s="35"/>
      <c r="J30" s="35"/>
    </row>
    <row r="31" spans="1:10" x14ac:dyDescent="0.2">
      <c r="A31" s="31">
        <v>45984</v>
      </c>
      <c r="B31" s="31" t="s">
        <v>16</v>
      </c>
      <c r="C31" s="32"/>
      <c r="D31" s="32"/>
      <c r="E31" s="32"/>
      <c r="F31" s="32"/>
      <c r="G31" s="33"/>
      <c r="H31" s="34">
        <f t="shared" si="0"/>
        <v>0</v>
      </c>
      <c r="I31" s="35"/>
      <c r="J31" s="35"/>
    </row>
    <row r="32" spans="1:10" x14ac:dyDescent="0.2">
      <c r="A32" s="22">
        <v>45985</v>
      </c>
      <c r="B32" s="22" t="s">
        <v>17</v>
      </c>
      <c r="C32" s="27"/>
      <c r="D32" s="27"/>
      <c r="E32" s="27"/>
      <c r="F32" s="27"/>
      <c r="G32" s="28"/>
      <c r="H32" s="29">
        <f t="shared" si="0"/>
        <v>0</v>
      </c>
      <c r="I32" s="30"/>
      <c r="J32" s="30"/>
    </row>
    <row r="33" spans="1:10" x14ac:dyDescent="0.2">
      <c r="A33" s="22">
        <v>45986</v>
      </c>
      <c r="B33" s="22" t="s">
        <v>18</v>
      </c>
      <c r="C33" s="27"/>
      <c r="D33" s="27"/>
      <c r="E33" s="27"/>
      <c r="F33" s="27"/>
      <c r="G33" s="28"/>
      <c r="H33" s="29">
        <f t="shared" si="0"/>
        <v>0</v>
      </c>
      <c r="I33" s="30"/>
      <c r="J33" s="30"/>
    </row>
    <row r="34" spans="1:10" x14ac:dyDescent="0.2">
      <c r="A34" s="22">
        <v>45987</v>
      </c>
      <c r="B34" s="22" t="s">
        <v>19</v>
      </c>
      <c r="C34" s="27"/>
      <c r="D34" s="27"/>
      <c r="E34" s="27"/>
      <c r="F34" s="27"/>
      <c r="G34" s="28"/>
      <c r="H34" s="29">
        <f t="shared" si="0"/>
        <v>0</v>
      </c>
      <c r="I34" s="30"/>
      <c r="J34" s="30"/>
    </row>
    <row r="35" spans="1:10" x14ac:dyDescent="0.2">
      <c r="A35" s="22">
        <v>45988</v>
      </c>
      <c r="B35" s="22" t="s">
        <v>20</v>
      </c>
      <c r="C35" s="27"/>
      <c r="D35" s="27"/>
      <c r="E35" s="27"/>
      <c r="F35" s="27"/>
      <c r="G35" s="28"/>
      <c r="H35" s="29">
        <f t="shared" si="0"/>
        <v>0</v>
      </c>
      <c r="I35" s="30"/>
      <c r="J35" s="30"/>
    </row>
    <row r="36" spans="1:10" x14ac:dyDescent="0.2">
      <c r="A36" s="22">
        <v>45989</v>
      </c>
      <c r="B36" s="22" t="s">
        <v>11</v>
      </c>
      <c r="C36" s="27"/>
      <c r="D36" s="27"/>
      <c r="E36" s="27"/>
      <c r="F36" s="27"/>
      <c r="G36" s="28"/>
      <c r="H36" s="29">
        <f t="shared" si="0"/>
        <v>0</v>
      </c>
      <c r="I36" s="30"/>
      <c r="J36" s="30"/>
    </row>
    <row r="37" spans="1:10" x14ac:dyDescent="0.2">
      <c r="A37" s="31">
        <v>45990</v>
      </c>
      <c r="B37" s="31" t="s">
        <v>14</v>
      </c>
      <c r="C37" s="32"/>
      <c r="D37" s="32"/>
      <c r="E37" s="32"/>
      <c r="F37" s="32"/>
      <c r="G37" s="33"/>
      <c r="H37" s="34">
        <f t="shared" si="0"/>
        <v>0</v>
      </c>
      <c r="I37" s="35"/>
      <c r="J37" s="35"/>
    </row>
    <row r="38" spans="1:10" x14ac:dyDescent="0.2">
      <c r="A38" s="31">
        <v>45991</v>
      </c>
      <c r="B38" s="31" t="s">
        <v>16</v>
      </c>
      <c r="C38" s="32"/>
      <c r="D38" s="32"/>
      <c r="E38" s="32"/>
      <c r="F38" s="32"/>
      <c r="G38" s="33"/>
      <c r="H38" s="34">
        <f t="shared" si="0"/>
        <v>0</v>
      </c>
      <c r="I38" s="35"/>
      <c r="J38" s="35"/>
    </row>
    <row r="39" spans="1:10" ht="13.95" customHeight="1" thickBot="1" x14ac:dyDescent="0.3">
      <c r="A39" s="46"/>
      <c r="B39" s="45"/>
      <c r="C39" s="45"/>
      <c r="D39" s="45"/>
      <c r="E39" s="45"/>
      <c r="F39" s="45"/>
      <c r="G39" s="45"/>
      <c r="H39" s="36"/>
      <c r="I39" s="37"/>
    </row>
    <row r="40" spans="1:10" ht="13.95" customHeight="1" x14ac:dyDescent="0.25">
      <c r="A40" s="4"/>
      <c r="B40" s="4"/>
      <c r="C40" s="5"/>
      <c r="D40" s="6"/>
      <c r="E40" s="7" t="s">
        <v>21</v>
      </c>
      <c r="F40" s="8">
        <f>F41*8</f>
        <v>160</v>
      </c>
      <c r="H40" s="40"/>
    </row>
    <row r="41" spans="1:10" ht="13.95" customHeight="1" thickBot="1" x14ac:dyDescent="0.3">
      <c r="A41" s="4"/>
      <c r="B41" s="4"/>
      <c r="C41" s="9"/>
      <c r="D41" s="2"/>
      <c r="E41" s="10" t="s">
        <v>22</v>
      </c>
      <c r="F41" s="11">
        <v>20</v>
      </c>
      <c r="H41" s="40"/>
    </row>
    <row r="42" spans="1:10" ht="13.95" customHeight="1" thickBot="1" x14ac:dyDescent="0.3">
      <c r="A42" s="117" t="s">
        <v>23</v>
      </c>
      <c r="B42" s="117"/>
      <c r="C42" s="117"/>
      <c r="D42" s="12"/>
      <c r="E42" s="2"/>
      <c r="F42" s="2"/>
      <c r="H42" s="40"/>
    </row>
    <row r="43" spans="1:10" ht="13.8" x14ac:dyDescent="0.25">
      <c r="A43" s="13"/>
      <c r="B43" s="13"/>
      <c r="C43" s="6"/>
      <c r="D43" s="6"/>
      <c r="E43" s="14" t="s">
        <v>24</v>
      </c>
      <c r="F43" s="15">
        <f>SUMIF(F9:F38,"Billable",H9:H38)</f>
        <v>0.33333333333333331</v>
      </c>
      <c r="H43" s="38"/>
    </row>
    <row r="44" spans="1:10" ht="15" customHeight="1" thickBot="1" x14ac:dyDescent="0.3">
      <c r="A44" s="118" t="s">
        <v>25</v>
      </c>
      <c r="B44" s="118"/>
      <c r="C44" s="118"/>
      <c r="D44" s="16"/>
      <c r="E44" s="17" t="s">
        <v>26</v>
      </c>
      <c r="F44" s="18">
        <f>SUMIF(F9:F38,"Non-Billable",H9:H38)</f>
        <v>0</v>
      </c>
      <c r="H44" s="40"/>
    </row>
    <row r="45" spans="1:10" ht="14.4" thickBot="1" x14ac:dyDescent="0.3">
      <c r="A45" s="2"/>
      <c r="B45" s="2"/>
      <c r="C45" s="2"/>
      <c r="D45" s="2"/>
      <c r="E45" s="19" t="s">
        <v>27</v>
      </c>
      <c r="F45" s="44">
        <f>F43+F44</f>
        <v>0.33333333333333331</v>
      </c>
      <c r="H45" s="40"/>
    </row>
    <row r="46" spans="1:10" ht="13.8" thickBot="1" x14ac:dyDescent="0.3">
      <c r="A46" s="2"/>
      <c r="B46" s="2"/>
      <c r="C46" s="2"/>
      <c r="D46" s="2"/>
      <c r="E46" s="2"/>
      <c r="F46" s="2"/>
      <c r="H46" s="40"/>
    </row>
    <row r="47" spans="1:10" ht="13.8" thickBot="1" x14ac:dyDescent="0.3">
      <c r="A47" s="2"/>
      <c r="B47" s="2"/>
      <c r="C47" s="2"/>
      <c r="D47" s="2"/>
      <c r="E47" s="20" t="s">
        <v>28</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48">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0 D42:E44 E47">
    <cfRule type="containsText" dxfId="70" priority="1" operator="containsText" text="Religious Leave">
      <formula>NOT(ISERROR(SEARCH("Religious Leave",D39)))</formula>
    </cfRule>
    <cfRule type="containsText" dxfId="69" priority="2" operator="containsText" text="Birthday Leave">
      <formula>NOT(ISERROR(SEARCH("Birthday Leave",D39)))</formula>
    </cfRule>
    <cfRule type="containsText" dxfId="68" priority="3" operator="containsText" text="Study Leave">
      <formula>NOT(ISERROR(SEARCH("Study Leave",D39)))</formula>
    </cfRule>
    <cfRule type="containsText" dxfId="67" priority="4" operator="containsText" text="Family Responsibility Leave">
      <formula>NOT(ISERROR(SEARCH("Family Responsibility Leave",D39)))</formula>
    </cfRule>
    <cfRule type="containsText" dxfId="66" priority="5" operator="containsText" text="Sick Leave">
      <formula>NOT(ISERROR(SEARCH("Sick Leave",D39)))</formula>
    </cfRule>
    <cfRule type="containsText" dxfId="65" priority="6" operator="containsText" text="Annual Leave">
      <formula>NOT(ISERROR(SEARCH("Annual Leave",D39)))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38" xr:uid="{BD26AAF6-378B-4691-A188-8206158BA92F}">
      <formula1>0</formula1>
      <formula2>0.999988425925926</formula2>
    </dataValidation>
  </dataValidations>
  <pageMargins left="0.7" right="0.7" top="0.75" bottom="0.75" header="0.3" footer="0.3"/>
  <pageSetup paperSize="9" scale="75" orientation="portrait" horizontalDpi="4294967293" verticalDpi="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Key!$J$3:$J$4</xm:f>
          </x14:formula1>
          <xm:sqref>F9:F38</xm:sqref>
        </x14:dataValidation>
        <x14:dataValidation type="list" allowBlank="1" showInputMessage="1" showErrorMessage="1" xr:uid="{6D37C029-6824-4E5B-BA42-C38962DEC5F9}">
          <x14:formula1>
            <xm:f>Key!$B$2:$B$48</xm:f>
          </x14:formula1>
          <xm:sqref>C9:C38</xm:sqref>
        </x14:dataValidation>
        <x14:dataValidation type="list" allowBlank="1" showInputMessage="1" showErrorMessage="1" xr:uid="{C97E0D12-88E3-4A10-AA0D-A710F2C4A1C7}">
          <x14:formula1>
            <xm:f>Key!$F$3:$F$48</xm:f>
          </x14:formula1>
          <xm:sqref>E9:E38</xm:sqref>
        </x14:dataValidation>
        <x14:dataValidation type="list" allowBlank="1" showInputMessage="1" showErrorMessage="1" xr:uid="{D2E40F83-7CA7-478E-877A-2530D69CF151}">
          <x14:formula1>
            <xm:f>Key!$H$3:$H$85</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9"/>
  <sheetViews>
    <sheetView zoomScale="75" zoomScaleNormal="75" workbookViewId="0">
      <selection activeCell="F9" sqref="F9"/>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22">
        <v>45992</v>
      </c>
      <c r="B9" s="22" t="s">
        <v>17</v>
      </c>
      <c r="C9" s="27" t="s">
        <v>133</v>
      </c>
      <c r="D9" s="27" t="s">
        <v>108</v>
      </c>
      <c r="E9" s="27" t="s">
        <v>31</v>
      </c>
      <c r="F9" s="27" t="s">
        <v>13</v>
      </c>
      <c r="G9" s="28" t="s">
        <v>109</v>
      </c>
      <c r="H9" s="29">
        <f t="shared" ref="H9" si="0">J9-I9</f>
        <v>0.33333333333333331</v>
      </c>
      <c r="I9" s="30">
        <v>0.33333333333333331</v>
      </c>
      <c r="J9" s="30">
        <v>0.66666666666666663</v>
      </c>
    </row>
    <row r="10" spans="1:10" x14ac:dyDescent="0.2">
      <c r="A10" s="22">
        <v>45993</v>
      </c>
      <c r="B10" s="22" t="s">
        <v>18</v>
      </c>
      <c r="C10" s="27"/>
      <c r="D10" s="27"/>
      <c r="E10" s="27"/>
      <c r="F10" s="27"/>
      <c r="G10" s="28"/>
      <c r="H10" s="29">
        <f t="shared" ref="H10:H35" si="1">J10-I10</f>
        <v>0</v>
      </c>
      <c r="I10" s="30"/>
      <c r="J10" s="30"/>
    </row>
    <row r="11" spans="1:10" x14ac:dyDescent="0.2">
      <c r="A11" s="22">
        <v>45994</v>
      </c>
      <c r="B11" s="22" t="s">
        <v>19</v>
      </c>
      <c r="C11" s="27"/>
      <c r="D11" s="27"/>
      <c r="E11" s="27"/>
      <c r="F11" s="27"/>
      <c r="G11" s="28"/>
      <c r="H11" s="29">
        <f t="shared" si="1"/>
        <v>0</v>
      </c>
      <c r="I11" s="30"/>
      <c r="J11" s="30"/>
    </row>
    <row r="12" spans="1:10" x14ac:dyDescent="0.2">
      <c r="A12" s="22">
        <v>45995</v>
      </c>
      <c r="B12" s="22" t="s">
        <v>20</v>
      </c>
      <c r="C12" s="27"/>
      <c r="D12" s="27"/>
      <c r="E12" s="27"/>
      <c r="F12" s="27"/>
      <c r="G12" s="28"/>
      <c r="H12" s="29">
        <f t="shared" si="1"/>
        <v>0</v>
      </c>
      <c r="I12" s="30"/>
      <c r="J12" s="30"/>
    </row>
    <row r="13" spans="1:10" x14ac:dyDescent="0.2">
      <c r="A13" s="22">
        <v>45996</v>
      </c>
      <c r="B13" s="22" t="s">
        <v>11</v>
      </c>
      <c r="C13" s="27"/>
      <c r="D13" s="27"/>
      <c r="E13" s="27"/>
      <c r="F13" s="27"/>
      <c r="G13" s="28"/>
      <c r="H13" s="29">
        <f t="shared" si="1"/>
        <v>0</v>
      </c>
      <c r="I13" s="30"/>
      <c r="J13" s="30"/>
    </row>
    <row r="14" spans="1:10" x14ac:dyDescent="0.2">
      <c r="A14" s="31">
        <v>45997</v>
      </c>
      <c r="B14" s="31" t="s">
        <v>14</v>
      </c>
      <c r="C14" s="32"/>
      <c r="D14" s="32"/>
      <c r="E14" s="32"/>
      <c r="F14" s="32"/>
      <c r="G14" s="33"/>
      <c r="H14" s="34">
        <f t="shared" si="1"/>
        <v>0</v>
      </c>
      <c r="I14" s="35"/>
      <c r="J14" s="35"/>
    </row>
    <row r="15" spans="1:10" x14ac:dyDescent="0.2">
      <c r="A15" s="31">
        <v>45998</v>
      </c>
      <c r="B15" s="31" t="s">
        <v>16</v>
      </c>
      <c r="C15" s="32"/>
      <c r="D15" s="32"/>
      <c r="E15" s="32"/>
      <c r="F15" s="32"/>
      <c r="G15" s="33"/>
      <c r="H15" s="34">
        <f t="shared" si="1"/>
        <v>0</v>
      </c>
      <c r="I15" s="35"/>
      <c r="J15" s="35"/>
    </row>
    <row r="16" spans="1:10" x14ac:dyDescent="0.2">
      <c r="A16" s="22">
        <v>45999</v>
      </c>
      <c r="B16" s="22" t="s">
        <v>17</v>
      </c>
      <c r="C16" s="27"/>
      <c r="D16" s="27"/>
      <c r="E16" s="27"/>
      <c r="F16" s="27"/>
      <c r="G16" s="28"/>
      <c r="H16" s="29">
        <f t="shared" si="1"/>
        <v>0</v>
      </c>
      <c r="I16" s="30"/>
      <c r="J16" s="30"/>
    </row>
    <row r="17" spans="1:10" x14ac:dyDescent="0.2">
      <c r="A17" s="22">
        <v>46000</v>
      </c>
      <c r="B17" s="22" t="s">
        <v>18</v>
      </c>
      <c r="C17" s="27"/>
      <c r="D17" s="27"/>
      <c r="E17" s="27"/>
      <c r="F17" s="27"/>
      <c r="G17" s="28"/>
      <c r="H17" s="29">
        <f t="shared" si="1"/>
        <v>0</v>
      </c>
      <c r="I17" s="30"/>
      <c r="J17" s="30"/>
    </row>
    <row r="18" spans="1:10" x14ac:dyDescent="0.2">
      <c r="A18" s="22">
        <v>46001</v>
      </c>
      <c r="B18" s="22" t="s">
        <v>19</v>
      </c>
      <c r="C18" s="27"/>
      <c r="D18" s="27"/>
      <c r="E18" s="27"/>
      <c r="F18" s="27"/>
      <c r="G18" s="28"/>
      <c r="H18" s="29">
        <f t="shared" si="1"/>
        <v>0</v>
      </c>
      <c r="I18" s="30"/>
      <c r="J18" s="30"/>
    </row>
    <row r="19" spans="1:10" x14ac:dyDescent="0.2">
      <c r="A19" s="22">
        <v>46002</v>
      </c>
      <c r="B19" s="22" t="s">
        <v>20</v>
      </c>
      <c r="C19" s="27"/>
      <c r="D19" s="27"/>
      <c r="E19" s="27"/>
      <c r="F19" s="27"/>
      <c r="G19" s="28"/>
      <c r="H19" s="29">
        <f t="shared" si="1"/>
        <v>0</v>
      </c>
      <c r="I19" s="30"/>
      <c r="J19" s="30"/>
    </row>
    <row r="20" spans="1:10" x14ac:dyDescent="0.2">
      <c r="A20" s="22">
        <v>46003</v>
      </c>
      <c r="B20" s="22" t="s">
        <v>11</v>
      </c>
      <c r="C20" s="27"/>
      <c r="D20" s="27"/>
      <c r="E20" s="27"/>
      <c r="F20" s="27"/>
      <c r="G20" s="28"/>
      <c r="H20" s="29">
        <f t="shared" si="1"/>
        <v>0</v>
      </c>
      <c r="I20" s="30"/>
      <c r="J20" s="30"/>
    </row>
    <row r="21" spans="1:10" x14ac:dyDescent="0.2">
      <c r="A21" s="31">
        <v>46004</v>
      </c>
      <c r="B21" s="31" t="s">
        <v>14</v>
      </c>
      <c r="C21" s="32"/>
      <c r="D21" s="32"/>
      <c r="E21" s="32"/>
      <c r="F21" s="32"/>
      <c r="G21" s="33"/>
      <c r="H21" s="34">
        <f t="shared" si="1"/>
        <v>0</v>
      </c>
      <c r="I21" s="35"/>
      <c r="J21" s="35"/>
    </row>
    <row r="22" spans="1:10" x14ac:dyDescent="0.2">
      <c r="A22" s="31">
        <v>46005</v>
      </c>
      <c r="B22" s="31" t="s">
        <v>16</v>
      </c>
      <c r="C22" s="32"/>
      <c r="D22" s="32"/>
      <c r="E22" s="32"/>
      <c r="F22" s="32"/>
      <c r="G22" s="33"/>
      <c r="H22" s="34">
        <f t="shared" si="1"/>
        <v>0</v>
      </c>
      <c r="I22" s="35"/>
      <c r="J22" s="35"/>
    </row>
    <row r="23" spans="1:10" x14ac:dyDescent="0.2">
      <c r="A23" s="22">
        <v>46006</v>
      </c>
      <c r="B23" s="22" t="s">
        <v>17</v>
      </c>
      <c r="C23" s="27"/>
      <c r="D23" s="27"/>
      <c r="E23" s="27"/>
      <c r="F23" s="27"/>
      <c r="G23" s="28"/>
      <c r="H23" s="29">
        <f t="shared" si="1"/>
        <v>0</v>
      </c>
      <c r="I23" s="30"/>
      <c r="J23" s="30"/>
    </row>
    <row r="24" spans="1:10" x14ac:dyDescent="0.2">
      <c r="A24" s="47">
        <v>46007</v>
      </c>
      <c r="B24" s="47" t="s">
        <v>18</v>
      </c>
      <c r="C24" s="48" t="s">
        <v>133</v>
      </c>
      <c r="D24" s="48"/>
      <c r="E24" s="48" t="s">
        <v>90</v>
      </c>
      <c r="F24" s="48" t="s">
        <v>15</v>
      </c>
      <c r="G24" s="49" t="s">
        <v>110</v>
      </c>
      <c r="H24" s="50">
        <f t="shared" si="1"/>
        <v>0.33333333333333331</v>
      </c>
      <c r="I24" s="51">
        <v>0.33333333333333331</v>
      </c>
      <c r="J24" s="51">
        <v>0.66666666666666663</v>
      </c>
    </row>
    <row r="25" spans="1:10" x14ac:dyDescent="0.2">
      <c r="A25" s="22">
        <v>46008</v>
      </c>
      <c r="B25" s="22" t="s">
        <v>19</v>
      </c>
      <c r="C25" s="27"/>
      <c r="D25" s="27"/>
      <c r="E25" s="27"/>
      <c r="F25" s="27"/>
      <c r="G25" s="28"/>
      <c r="H25" s="29">
        <f t="shared" si="1"/>
        <v>0</v>
      </c>
      <c r="I25" s="30"/>
      <c r="J25" s="30"/>
    </row>
    <row r="26" spans="1:10" x14ac:dyDescent="0.2">
      <c r="A26" s="22">
        <v>46009</v>
      </c>
      <c r="B26" s="22" t="s">
        <v>20</v>
      </c>
      <c r="C26" s="27"/>
      <c r="D26" s="27"/>
      <c r="E26" s="27"/>
      <c r="F26" s="27"/>
      <c r="G26" s="28"/>
      <c r="H26" s="29">
        <f t="shared" si="1"/>
        <v>0</v>
      </c>
      <c r="I26" s="30"/>
      <c r="J26" s="30"/>
    </row>
    <row r="27" spans="1:10" x14ac:dyDescent="0.2">
      <c r="A27" s="22">
        <v>46010</v>
      </c>
      <c r="B27" s="22" t="s">
        <v>11</v>
      </c>
      <c r="C27" s="27"/>
      <c r="D27" s="27"/>
      <c r="E27" s="27"/>
      <c r="F27" s="27"/>
      <c r="G27" s="28"/>
      <c r="H27" s="29">
        <f t="shared" si="1"/>
        <v>0</v>
      </c>
      <c r="I27" s="30"/>
      <c r="J27" s="30"/>
    </row>
    <row r="28" spans="1:10" x14ac:dyDescent="0.2">
      <c r="A28" s="31">
        <v>46011</v>
      </c>
      <c r="B28" s="31" t="s">
        <v>14</v>
      </c>
      <c r="C28" s="32"/>
      <c r="D28" s="32"/>
      <c r="E28" s="32"/>
      <c r="F28" s="32"/>
      <c r="G28" s="33"/>
      <c r="H28" s="34">
        <f t="shared" si="1"/>
        <v>0</v>
      </c>
      <c r="I28" s="35"/>
      <c r="J28" s="35"/>
    </row>
    <row r="29" spans="1:10" x14ac:dyDescent="0.2">
      <c r="A29" s="31">
        <v>46012</v>
      </c>
      <c r="B29" s="31" t="s">
        <v>16</v>
      </c>
      <c r="C29" s="32"/>
      <c r="D29" s="32"/>
      <c r="E29" s="32"/>
      <c r="F29" s="32"/>
      <c r="G29" s="33"/>
      <c r="H29" s="34">
        <f t="shared" si="1"/>
        <v>0</v>
      </c>
      <c r="I29" s="35"/>
      <c r="J29" s="35"/>
    </row>
    <row r="30" spans="1:10" x14ac:dyDescent="0.2">
      <c r="A30" s="22">
        <v>46013</v>
      </c>
      <c r="B30" s="22" t="s">
        <v>17</v>
      </c>
      <c r="C30" s="27"/>
      <c r="D30" s="27"/>
      <c r="E30" s="27"/>
      <c r="F30" s="27"/>
      <c r="G30" s="28"/>
      <c r="H30" s="29">
        <f t="shared" si="1"/>
        <v>0</v>
      </c>
      <c r="I30" s="30"/>
      <c r="J30" s="30"/>
    </row>
    <row r="31" spans="1:10" x14ac:dyDescent="0.2">
      <c r="A31" s="22">
        <v>46014</v>
      </c>
      <c r="B31" s="22" t="s">
        <v>18</v>
      </c>
      <c r="C31" s="27"/>
      <c r="D31" s="27"/>
      <c r="E31" s="27"/>
      <c r="F31" s="27"/>
      <c r="G31" s="28"/>
      <c r="H31" s="29">
        <f t="shared" si="1"/>
        <v>0</v>
      </c>
      <c r="I31" s="30"/>
      <c r="J31" s="30"/>
    </row>
    <row r="32" spans="1:10" x14ac:dyDescent="0.2">
      <c r="A32" s="22">
        <v>46015</v>
      </c>
      <c r="B32" s="22" t="s">
        <v>19</v>
      </c>
      <c r="C32" s="27"/>
      <c r="D32" s="27"/>
      <c r="E32" s="27"/>
      <c r="F32" s="27"/>
      <c r="G32" s="28"/>
      <c r="H32" s="29">
        <f t="shared" ref="H32" si="2">J32-I32</f>
        <v>0</v>
      </c>
      <c r="I32" s="30"/>
      <c r="J32" s="30"/>
    </row>
    <row r="33" spans="1:10" x14ac:dyDescent="0.2">
      <c r="A33" s="47">
        <v>46016</v>
      </c>
      <c r="B33" s="47" t="s">
        <v>20</v>
      </c>
      <c r="C33" s="48" t="s">
        <v>133</v>
      </c>
      <c r="D33" s="48"/>
      <c r="E33" s="48" t="s">
        <v>90</v>
      </c>
      <c r="F33" s="48" t="s">
        <v>15</v>
      </c>
      <c r="G33" s="49" t="s">
        <v>111</v>
      </c>
      <c r="H33" s="50">
        <f t="shared" si="1"/>
        <v>0.33333333333333331</v>
      </c>
      <c r="I33" s="51">
        <v>0.33333333333333331</v>
      </c>
      <c r="J33" s="51">
        <v>0.66666666666666663</v>
      </c>
    </row>
    <row r="34" spans="1:10" x14ac:dyDescent="0.2">
      <c r="A34" s="47">
        <v>46017</v>
      </c>
      <c r="B34" s="47" t="s">
        <v>11</v>
      </c>
      <c r="C34" s="48" t="s">
        <v>133</v>
      </c>
      <c r="D34" s="48"/>
      <c r="E34" s="48" t="s">
        <v>90</v>
      </c>
      <c r="F34" s="48" t="s">
        <v>15</v>
      </c>
      <c r="G34" s="49" t="s">
        <v>112</v>
      </c>
      <c r="H34" s="50">
        <f t="shared" si="1"/>
        <v>0.33333333333333331</v>
      </c>
      <c r="I34" s="51">
        <v>0.33333333333333331</v>
      </c>
      <c r="J34" s="51">
        <v>0.66666666666666663</v>
      </c>
    </row>
    <row r="35" spans="1:10" x14ac:dyDescent="0.2">
      <c r="A35" s="31">
        <v>46018</v>
      </c>
      <c r="B35" s="31" t="s">
        <v>14</v>
      </c>
      <c r="C35" s="32"/>
      <c r="D35" s="32"/>
      <c r="E35" s="32"/>
      <c r="F35" s="32"/>
      <c r="G35" s="33"/>
      <c r="H35" s="34">
        <f t="shared" si="1"/>
        <v>0</v>
      </c>
      <c r="I35" s="35"/>
      <c r="J35" s="35"/>
    </row>
    <row r="36" spans="1:10" x14ac:dyDescent="0.2">
      <c r="A36" s="31">
        <v>46019</v>
      </c>
      <c r="B36" s="31" t="s">
        <v>16</v>
      </c>
      <c r="C36" s="32"/>
      <c r="D36" s="32"/>
      <c r="E36" s="32"/>
      <c r="F36" s="32"/>
      <c r="G36" s="33"/>
      <c r="H36" s="34">
        <f t="shared" ref="H36:H38" si="3">J36-I36</f>
        <v>0</v>
      </c>
      <c r="I36" s="35"/>
      <c r="J36" s="35"/>
    </row>
    <row r="37" spans="1:10" x14ac:dyDescent="0.2">
      <c r="A37" s="22">
        <v>46020</v>
      </c>
      <c r="B37" s="22" t="s">
        <v>17</v>
      </c>
      <c r="C37" s="27"/>
      <c r="D37" s="27"/>
      <c r="E37" s="27"/>
      <c r="F37" s="27"/>
      <c r="G37" s="28"/>
      <c r="H37" s="29">
        <f t="shared" si="3"/>
        <v>0</v>
      </c>
      <c r="I37" s="30"/>
      <c r="J37" s="30"/>
    </row>
    <row r="38" spans="1:10" x14ac:dyDescent="0.2">
      <c r="A38" s="22">
        <v>46021</v>
      </c>
      <c r="B38" s="22" t="s">
        <v>18</v>
      </c>
      <c r="C38" s="27"/>
      <c r="D38" s="27"/>
      <c r="E38" s="27"/>
      <c r="F38" s="27"/>
      <c r="G38" s="28"/>
      <c r="H38" s="29">
        <f t="shared" si="3"/>
        <v>0</v>
      </c>
      <c r="I38" s="30"/>
      <c r="J38" s="30"/>
    </row>
    <row r="39" spans="1:10" ht="13.95" customHeight="1" thickBot="1" x14ac:dyDescent="0.25">
      <c r="A39" s="22">
        <v>46022</v>
      </c>
      <c r="B39" s="22" t="s">
        <v>19</v>
      </c>
      <c r="C39" s="27"/>
      <c r="D39" s="27"/>
      <c r="E39" s="27"/>
      <c r="F39" s="27"/>
      <c r="G39" s="28"/>
      <c r="H39" s="29">
        <f t="shared" ref="H39" si="4">J39-I39</f>
        <v>0</v>
      </c>
      <c r="I39" s="30"/>
      <c r="J39" s="30"/>
    </row>
    <row r="40" spans="1:10" ht="13.95" customHeight="1" thickBot="1" x14ac:dyDescent="0.3">
      <c r="A40" s="45"/>
      <c r="B40" s="45"/>
      <c r="C40" s="45"/>
      <c r="D40" s="45"/>
      <c r="E40" s="1"/>
      <c r="F40" s="1"/>
      <c r="G40" s="45"/>
      <c r="H40" s="36"/>
      <c r="I40" s="37"/>
    </row>
    <row r="41" spans="1:10" ht="13.95" customHeight="1" x14ac:dyDescent="0.25">
      <c r="A41" s="4"/>
      <c r="B41" s="4"/>
      <c r="C41" s="5"/>
      <c r="D41" s="6"/>
      <c r="E41" s="7" t="s">
        <v>21</v>
      </c>
      <c r="F41" s="8">
        <f>F42*8</f>
        <v>160</v>
      </c>
      <c r="H41" s="40"/>
    </row>
    <row r="42" spans="1:10" ht="13.95" customHeight="1" thickBot="1" x14ac:dyDescent="0.3">
      <c r="A42" s="4"/>
      <c r="B42" s="4"/>
      <c r="C42" s="9"/>
      <c r="D42" s="2"/>
      <c r="E42" s="10" t="s">
        <v>22</v>
      </c>
      <c r="F42" s="11">
        <v>20</v>
      </c>
      <c r="H42" s="40"/>
    </row>
    <row r="43" spans="1:10" ht="13.95" customHeight="1" thickBot="1" x14ac:dyDescent="0.3">
      <c r="A43" s="117" t="s">
        <v>23</v>
      </c>
      <c r="B43" s="117"/>
      <c r="C43" s="117"/>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8" t="s">
        <v>25</v>
      </c>
      <c r="B45" s="118"/>
      <c r="C45" s="118"/>
      <c r="D45" s="16"/>
      <c r="E45" s="17" t="s">
        <v>26</v>
      </c>
      <c r="F45" s="18">
        <f>SUMIF(F9:F39,"Non-Billable",H9:H39)</f>
        <v>1</v>
      </c>
      <c r="H45" s="40"/>
    </row>
    <row r="46" spans="1:10" ht="14.4" thickBot="1" x14ac:dyDescent="0.3">
      <c r="A46" s="2"/>
      <c r="B46" s="2"/>
      <c r="C46" s="2"/>
      <c r="D46" s="2"/>
      <c r="E46" s="19" t="s">
        <v>27</v>
      </c>
      <c r="F46" s="44">
        <f>F44+F45</f>
        <v>1.3333333333333333</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9">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40:E41 D43:E45 E48">
    <cfRule type="containsText" dxfId="54" priority="1" operator="containsText" text="Religious Leave">
      <formula>NOT(ISERROR(SEARCH("Religious Leave",D40)))</formula>
    </cfRule>
    <cfRule type="containsText" dxfId="53" priority="2" operator="containsText" text="Birthday Leave">
      <formula>NOT(ISERROR(SEARCH("Birthday Leave",D40)))</formula>
    </cfRule>
    <cfRule type="containsText" dxfId="52" priority="3" operator="containsText" text="Study Leave">
      <formula>NOT(ISERROR(SEARCH("Study Leave",D40)))</formula>
    </cfRule>
    <cfRule type="containsText" dxfId="51" priority="4" operator="containsText" text="Family Responsibility Leave">
      <formula>NOT(ISERROR(SEARCH("Family Responsibility Leave",D40)))</formula>
    </cfRule>
    <cfRule type="containsText" dxfId="50" priority="5" operator="containsText" text="Sick Leave">
      <formula>NOT(ISERROR(SEARCH("Sick Leave",D40)))</formula>
    </cfRule>
    <cfRule type="containsText" dxfId="49" priority="6" operator="containsText" text="Annual Leave">
      <formula>NOT(ISERROR(SEARCH("Annual Leave",D40)))</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9" xr:uid="{AE0E279A-3651-4C53-B5BE-9320AB8ED8AC}">
      <formula1>0</formula1>
      <formula2>0.999988425925926</formula2>
    </dataValidation>
  </dataValidations>
  <pageMargins left="0.7" right="0.7" top="0.75" bottom="0.75" header="0.3" footer="0.3"/>
  <pageSetup paperSize="9" scale="75" orientation="portrait" horizontalDpi="4294967293" verticalDpi="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Key!$J$3:$J$4</xm:f>
          </x14:formula1>
          <xm:sqref>F9:F39</xm:sqref>
        </x14:dataValidation>
        <x14:dataValidation type="list" allowBlank="1" showInputMessage="1" showErrorMessage="1" xr:uid="{F1A338DF-EA25-4B08-9176-04DE4DDAE78D}">
          <x14:formula1>
            <xm:f>Key!$B$2:$B$50</xm:f>
          </x14:formula1>
          <xm:sqref>C9:C39</xm:sqref>
        </x14:dataValidation>
        <x14:dataValidation type="list" allowBlank="1" showInputMessage="1" showErrorMessage="1" xr:uid="{BDB7910B-48F8-4AC3-8296-7ACE2245BF91}">
          <x14:formula1>
            <xm:f>Key!$F$3:$F$46</xm:f>
          </x14:formula1>
          <xm:sqref>E9:E39</xm:sqref>
        </x14:dataValidation>
        <x14:dataValidation type="list" allowBlank="1" showInputMessage="1" showErrorMessage="1" xr:uid="{522C5510-2B16-443A-8CBA-93200EDDFB81}">
          <x14:formula1>
            <xm:f>Key!$H$3:$H$81</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zoomScale="75" zoomScaleNormal="75" workbookViewId="0">
      <selection activeCell="G18" sqref="G18:G19"/>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F44</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47">
        <v>46023</v>
      </c>
      <c r="B9" s="47" t="s">
        <v>20</v>
      </c>
      <c r="C9" s="48" t="s">
        <v>133</v>
      </c>
      <c r="D9" s="48" t="s">
        <v>108</v>
      </c>
      <c r="E9" s="48" t="s">
        <v>90</v>
      </c>
      <c r="F9" s="48" t="s">
        <v>15</v>
      </c>
      <c r="G9" s="49" t="s">
        <v>119</v>
      </c>
      <c r="H9" s="50">
        <f>J9-I9</f>
        <v>0.33333333333333331</v>
      </c>
      <c r="I9" s="51">
        <v>0.33333333333333331</v>
      </c>
      <c r="J9" s="51">
        <v>0.66666666666666663</v>
      </c>
    </row>
    <row r="10" spans="1:10" x14ac:dyDescent="0.2">
      <c r="A10" s="22">
        <v>46024</v>
      </c>
      <c r="B10" s="22" t="s">
        <v>11</v>
      </c>
      <c r="C10" s="27" t="s">
        <v>133</v>
      </c>
      <c r="D10" s="27" t="s">
        <v>108</v>
      </c>
      <c r="E10" s="27" t="s">
        <v>31</v>
      </c>
      <c r="F10" s="27" t="s">
        <v>13</v>
      </c>
      <c r="G10" s="28" t="s">
        <v>109</v>
      </c>
      <c r="H10" s="29">
        <f>J10-I10</f>
        <v>0.33333333333333331</v>
      </c>
      <c r="I10" s="30">
        <v>0.33333333333333331</v>
      </c>
      <c r="J10" s="30">
        <v>0.66666666666666663</v>
      </c>
    </row>
    <row r="11" spans="1:10" x14ac:dyDescent="0.2">
      <c r="A11" s="31">
        <v>46025</v>
      </c>
      <c r="B11" s="31" t="s">
        <v>14</v>
      </c>
      <c r="C11" s="32"/>
      <c r="D11" s="32"/>
      <c r="E11" s="32"/>
      <c r="F11" s="32"/>
      <c r="G11" s="33"/>
      <c r="H11" s="34">
        <f>J11-I11</f>
        <v>0</v>
      </c>
      <c r="I11" s="35"/>
      <c r="J11" s="35"/>
    </row>
    <row r="12" spans="1:10" x14ac:dyDescent="0.2">
      <c r="A12" s="31">
        <v>46026</v>
      </c>
      <c r="B12" s="31" t="s">
        <v>16</v>
      </c>
      <c r="C12" s="32"/>
      <c r="D12" s="32"/>
      <c r="E12" s="32"/>
      <c r="F12" s="32"/>
      <c r="G12" s="33"/>
      <c r="H12" s="34">
        <f t="shared" ref="H12" si="0">J12-I12</f>
        <v>0</v>
      </c>
      <c r="I12" s="35"/>
      <c r="J12" s="35"/>
    </row>
    <row r="13" spans="1:10" x14ac:dyDescent="0.2">
      <c r="A13" s="22">
        <v>46027</v>
      </c>
      <c r="B13" s="22" t="s">
        <v>17</v>
      </c>
      <c r="C13" s="27"/>
      <c r="D13" s="27"/>
      <c r="E13" s="27"/>
      <c r="F13" s="27"/>
      <c r="G13" s="28"/>
      <c r="H13" s="29">
        <f t="shared" ref="H13:H38" si="1">J13-I13</f>
        <v>0</v>
      </c>
      <c r="I13" s="30"/>
      <c r="J13" s="30"/>
    </row>
    <row r="14" spans="1:10" x14ac:dyDescent="0.2">
      <c r="A14" s="22">
        <v>46028</v>
      </c>
      <c r="B14" s="22" t="s">
        <v>18</v>
      </c>
      <c r="C14" s="27"/>
      <c r="D14" s="27"/>
      <c r="E14" s="27"/>
      <c r="F14" s="27"/>
      <c r="G14" s="28"/>
      <c r="H14" s="29">
        <f t="shared" si="1"/>
        <v>0</v>
      </c>
      <c r="I14" s="30"/>
      <c r="J14" s="30"/>
    </row>
    <row r="15" spans="1:10" x14ac:dyDescent="0.2">
      <c r="A15" s="22">
        <v>46029</v>
      </c>
      <c r="B15" s="22" t="s">
        <v>19</v>
      </c>
      <c r="C15" s="27"/>
      <c r="D15" s="27"/>
      <c r="E15" s="27"/>
      <c r="F15" s="27"/>
      <c r="G15" s="28"/>
      <c r="H15" s="29">
        <f t="shared" si="1"/>
        <v>0</v>
      </c>
      <c r="I15" s="30"/>
      <c r="J15" s="30"/>
    </row>
    <row r="16" spans="1:10" x14ac:dyDescent="0.2">
      <c r="A16" s="22">
        <v>46030</v>
      </c>
      <c r="B16" s="22" t="s">
        <v>20</v>
      </c>
      <c r="C16" s="27"/>
      <c r="D16" s="27"/>
      <c r="E16" s="27"/>
      <c r="F16" s="27"/>
      <c r="G16" s="28"/>
      <c r="H16" s="29">
        <f t="shared" si="1"/>
        <v>0</v>
      </c>
      <c r="I16" s="30"/>
      <c r="J16" s="30"/>
    </row>
    <row r="17" spans="1:10" x14ac:dyDescent="0.2">
      <c r="A17" s="22">
        <v>46031</v>
      </c>
      <c r="B17" s="22" t="s">
        <v>11</v>
      </c>
      <c r="C17" s="27"/>
      <c r="D17" s="27"/>
      <c r="E17" s="27"/>
      <c r="F17" s="27"/>
      <c r="G17" s="28"/>
      <c r="H17" s="29">
        <f t="shared" ref="H17" si="2">J17-I17</f>
        <v>0</v>
      </c>
      <c r="I17" s="30"/>
      <c r="J17" s="30"/>
    </row>
    <row r="18" spans="1:10" x14ac:dyDescent="0.2">
      <c r="A18" s="31">
        <v>46032</v>
      </c>
      <c r="B18" s="31" t="s">
        <v>14</v>
      </c>
      <c r="C18" s="32"/>
      <c r="D18" s="32"/>
      <c r="E18" s="32"/>
      <c r="F18" s="32"/>
      <c r="G18" s="33"/>
      <c r="H18" s="34">
        <f t="shared" si="1"/>
        <v>0</v>
      </c>
      <c r="I18" s="35"/>
      <c r="J18" s="35"/>
    </row>
    <row r="19" spans="1:10" x14ac:dyDescent="0.2">
      <c r="A19" s="31">
        <v>46033</v>
      </c>
      <c r="B19" s="31" t="s">
        <v>16</v>
      </c>
      <c r="C19" s="32"/>
      <c r="D19" s="32"/>
      <c r="E19" s="32"/>
      <c r="F19" s="32"/>
      <c r="G19" s="33"/>
      <c r="H19" s="34">
        <f t="shared" si="1"/>
        <v>0</v>
      </c>
      <c r="I19" s="35"/>
      <c r="J19" s="35"/>
    </row>
    <row r="20" spans="1:10" x14ac:dyDescent="0.2">
      <c r="A20" s="22">
        <v>46034</v>
      </c>
      <c r="B20" s="22" t="s">
        <v>17</v>
      </c>
      <c r="C20" s="27"/>
      <c r="D20" s="27"/>
      <c r="E20" s="27"/>
      <c r="F20" s="27"/>
      <c r="G20" s="28"/>
      <c r="H20" s="29">
        <f t="shared" si="1"/>
        <v>0</v>
      </c>
      <c r="I20" s="30"/>
      <c r="J20" s="30"/>
    </row>
    <row r="21" spans="1:10" x14ac:dyDescent="0.2">
      <c r="A21" s="22">
        <v>46035</v>
      </c>
      <c r="B21" s="22" t="s">
        <v>18</v>
      </c>
      <c r="C21" s="27"/>
      <c r="D21" s="27"/>
      <c r="E21" s="27"/>
      <c r="F21" s="27"/>
      <c r="G21" s="28"/>
      <c r="H21" s="29">
        <f t="shared" si="1"/>
        <v>0</v>
      </c>
      <c r="I21" s="30"/>
      <c r="J21" s="30"/>
    </row>
    <row r="22" spans="1:10" x14ac:dyDescent="0.2">
      <c r="A22" s="22">
        <v>46036</v>
      </c>
      <c r="B22" s="22" t="s">
        <v>19</v>
      </c>
      <c r="C22" s="27"/>
      <c r="D22" s="27"/>
      <c r="E22" s="27"/>
      <c r="F22" s="27"/>
      <c r="G22" s="28"/>
      <c r="H22" s="29">
        <f t="shared" si="1"/>
        <v>0</v>
      </c>
      <c r="I22" s="30"/>
      <c r="J22" s="30"/>
    </row>
    <row r="23" spans="1:10" x14ac:dyDescent="0.2">
      <c r="A23" s="22">
        <v>46037</v>
      </c>
      <c r="B23" s="22" t="s">
        <v>20</v>
      </c>
      <c r="C23" s="27"/>
      <c r="D23" s="27"/>
      <c r="E23" s="27"/>
      <c r="F23" s="27"/>
      <c r="G23" s="28"/>
      <c r="H23" s="29">
        <f t="shared" si="1"/>
        <v>0</v>
      </c>
      <c r="I23" s="30"/>
      <c r="J23" s="30"/>
    </row>
    <row r="24" spans="1:10" x14ac:dyDescent="0.2">
      <c r="A24" s="22">
        <v>46038</v>
      </c>
      <c r="B24" s="22" t="s">
        <v>11</v>
      </c>
      <c r="C24" s="27"/>
      <c r="D24" s="27"/>
      <c r="E24" s="27"/>
      <c r="F24" s="27"/>
      <c r="G24" s="28"/>
      <c r="H24" s="29">
        <f t="shared" si="1"/>
        <v>0</v>
      </c>
      <c r="I24" s="30"/>
      <c r="J24" s="30"/>
    </row>
    <row r="25" spans="1:10" x14ac:dyDescent="0.2">
      <c r="A25" s="31">
        <v>46039</v>
      </c>
      <c r="B25" s="31" t="s">
        <v>14</v>
      </c>
      <c r="C25" s="32"/>
      <c r="D25" s="32"/>
      <c r="E25" s="32"/>
      <c r="F25" s="32"/>
      <c r="G25" s="33"/>
      <c r="H25" s="34">
        <f t="shared" si="1"/>
        <v>0</v>
      </c>
      <c r="I25" s="35"/>
      <c r="J25" s="35"/>
    </row>
    <row r="26" spans="1:10" x14ac:dyDescent="0.2">
      <c r="A26" s="31">
        <v>46040</v>
      </c>
      <c r="B26" s="31" t="s">
        <v>16</v>
      </c>
      <c r="C26" s="32"/>
      <c r="D26" s="32"/>
      <c r="E26" s="32"/>
      <c r="F26" s="32"/>
      <c r="G26" s="33"/>
      <c r="H26" s="34">
        <f t="shared" si="1"/>
        <v>0</v>
      </c>
      <c r="I26" s="35"/>
      <c r="J26" s="35"/>
    </row>
    <row r="27" spans="1:10" x14ac:dyDescent="0.2">
      <c r="A27" s="22">
        <v>46041</v>
      </c>
      <c r="B27" s="22" t="s">
        <v>17</v>
      </c>
      <c r="C27" s="27"/>
      <c r="D27" s="27"/>
      <c r="E27" s="27"/>
      <c r="F27" s="27"/>
      <c r="G27" s="28"/>
      <c r="H27" s="29">
        <f t="shared" si="1"/>
        <v>0</v>
      </c>
      <c r="I27" s="30"/>
      <c r="J27" s="30"/>
    </row>
    <row r="28" spans="1:10" x14ac:dyDescent="0.2">
      <c r="A28" s="22">
        <v>46042</v>
      </c>
      <c r="B28" s="22" t="s">
        <v>18</v>
      </c>
      <c r="C28" s="27"/>
      <c r="D28" s="27"/>
      <c r="E28" s="27"/>
      <c r="F28" s="27"/>
      <c r="G28" s="28"/>
      <c r="H28" s="29">
        <f t="shared" si="1"/>
        <v>0</v>
      </c>
      <c r="I28" s="30"/>
      <c r="J28" s="30"/>
    </row>
    <row r="29" spans="1:10" x14ac:dyDescent="0.2">
      <c r="A29" s="22">
        <v>46043</v>
      </c>
      <c r="B29" s="22" t="s">
        <v>19</v>
      </c>
      <c r="C29" s="27"/>
      <c r="D29" s="27"/>
      <c r="E29" s="27"/>
      <c r="F29" s="27"/>
      <c r="G29" s="28"/>
      <c r="H29" s="29">
        <f t="shared" si="1"/>
        <v>0</v>
      </c>
      <c r="I29" s="30"/>
      <c r="J29" s="30"/>
    </row>
    <row r="30" spans="1:10" x14ac:dyDescent="0.2">
      <c r="A30" s="22">
        <v>46044</v>
      </c>
      <c r="B30" s="22" t="s">
        <v>20</v>
      </c>
      <c r="C30" s="27"/>
      <c r="D30" s="27"/>
      <c r="E30" s="27"/>
      <c r="F30" s="27"/>
      <c r="G30" s="28"/>
      <c r="H30" s="29">
        <f t="shared" si="1"/>
        <v>0</v>
      </c>
      <c r="I30" s="30"/>
      <c r="J30" s="30"/>
    </row>
    <row r="31" spans="1:10" x14ac:dyDescent="0.2">
      <c r="A31" s="22">
        <v>46045</v>
      </c>
      <c r="B31" s="22" t="s">
        <v>11</v>
      </c>
      <c r="C31" s="27"/>
      <c r="D31" s="27"/>
      <c r="E31" s="27"/>
      <c r="F31" s="27"/>
      <c r="G31" s="28"/>
      <c r="H31" s="29">
        <f t="shared" si="1"/>
        <v>0</v>
      </c>
      <c r="I31" s="30"/>
      <c r="J31" s="30"/>
    </row>
    <row r="32" spans="1:10" x14ac:dyDescent="0.2">
      <c r="A32" s="31">
        <v>46046</v>
      </c>
      <c r="B32" s="31" t="s">
        <v>14</v>
      </c>
      <c r="C32" s="32"/>
      <c r="D32" s="32"/>
      <c r="E32" s="32"/>
      <c r="F32" s="32"/>
      <c r="G32" s="33"/>
      <c r="H32" s="34">
        <f t="shared" si="1"/>
        <v>0</v>
      </c>
      <c r="I32" s="35"/>
      <c r="J32" s="35"/>
    </row>
    <row r="33" spans="1:10" x14ac:dyDescent="0.2">
      <c r="A33" s="31">
        <v>46047</v>
      </c>
      <c r="B33" s="31" t="s">
        <v>16</v>
      </c>
      <c r="C33" s="32"/>
      <c r="D33" s="32"/>
      <c r="E33" s="32"/>
      <c r="F33" s="32"/>
      <c r="G33" s="33"/>
      <c r="H33" s="34">
        <f t="shared" si="1"/>
        <v>0</v>
      </c>
      <c r="I33" s="35"/>
      <c r="J33" s="35"/>
    </row>
    <row r="34" spans="1:10" x14ac:dyDescent="0.2">
      <c r="A34" s="22">
        <v>46048</v>
      </c>
      <c r="B34" s="22" t="s">
        <v>17</v>
      </c>
      <c r="C34" s="27"/>
      <c r="D34" s="27"/>
      <c r="E34" s="27"/>
      <c r="F34" s="27"/>
      <c r="G34" s="28"/>
      <c r="H34" s="29">
        <f t="shared" si="1"/>
        <v>0</v>
      </c>
      <c r="I34" s="30"/>
      <c r="J34" s="30"/>
    </row>
    <row r="35" spans="1:10" x14ac:dyDescent="0.2">
      <c r="A35" s="22">
        <v>46049</v>
      </c>
      <c r="B35" s="22" t="s">
        <v>18</v>
      </c>
      <c r="C35" s="27"/>
      <c r="D35" s="27"/>
      <c r="E35" s="27"/>
      <c r="F35" s="27"/>
      <c r="G35" s="28"/>
      <c r="H35" s="29">
        <f t="shared" si="1"/>
        <v>0</v>
      </c>
      <c r="I35" s="30"/>
      <c r="J35" s="30"/>
    </row>
    <row r="36" spans="1:10" x14ac:dyDescent="0.2">
      <c r="A36" s="22">
        <v>46050</v>
      </c>
      <c r="B36" s="22" t="s">
        <v>19</v>
      </c>
      <c r="C36" s="27"/>
      <c r="D36" s="27"/>
      <c r="E36" s="27"/>
      <c r="F36" s="27"/>
      <c r="G36" s="28"/>
      <c r="H36" s="29">
        <f t="shared" si="1"/>
        <v>0</v>
      </c>
      <c r="I36" s="30"/>
      <c r="J36" s="30"/>
    </row>
    <row r="37" spans="1:10" x14ac:dyDescent="0.2">
      <c r="A37" s="22">
        <v>46051</v>
      </c>
      <c r="B37" s="22" t="s">
        <v>20</v>
      </c>
      <c r="C37" s="27"/>
      <c r="D37" s="27"/>
      <c r="E37" s="27"/>
      <c r="F37" s="27"/>
      <c r="G37" s="28"/>
      <c r="H37" s="29">
        <f t="shared" si="1"/>
        <v>0</v>
      </c>
      <c r="I37" s="30"/>
      <c r="J37" s="30"/>
    </row>
    <row r="38" spans="1:10" x14ac:dyDescent="0.2">
      <c r="A38" s="22">
        <v>46052</v>
      </c>
      <c r="B38" s="22" t="s">
        <v>11</v>
      </c>
      <c r="C38" s="27"/>
      <c r="D38" s="27"/>
      <c r="E38" s="27"/>
      <c r="F38" s="27"/>
      <c r="G38" s="28"/>
      <c r="H38" s="29">
        <f t="shared" si="1"/>
        <v>0</v>
      </c>
      <c r="I38" s="30"/>
      <c r="J38" s="30"/>
    </row>
    <row r="39" spans="1:10" ht="13.2" thickBot="1" x14ac:dyDescent="0.25">
      <c r="A39" s="31">
        <v>46053</v>
      </c>
      <c r="B39" s="31" t="s">
        <v>14</v>
      </c>
      <c r="C39" s="32"/>
      <c r="D39" s="32"/>
      <c r="E39" s="32"/>
      <c r="F39" s="32"/>
      <c r="G39" s="33"/>
      <c r="H39" s="34">
        <f>J39-I39</f>
        <v>0</v>
      </c>
      <c r="I39" s="35"/>
      <c r="J39" s="35"/>
    </row>
    <row r="40" spans="1:10" ht="13.95" customHeight="1" thickBot="1" x14ac:dyDescent="0.3">
      <c r="A40" s="3"/>
      <c r="B40" s="1"/>
      <c r="C40" s="1"/>
      <c r="D40" s="1"/>
      <c r="E40" s="1"/>
      <c r="F40" s="1"/>
      <c r="G40" s="1"/>
      <c r="H40" s="36"/>
      <c r="I40" s="37"/>
    </row>
    <row r="41" spans="1:10" ht="13.95" customHeight="1" x14ac:dyDescent="0.25">
      <c r="A41" s="4"/>
      <c r="B41" s="4"/>
      <c r="C41" s="5"/>
      <c r="D41" s="6"/>
      <c r="E41" s="7" t="s">
        <v>21</v>
      </c>
      <c r="F41" s="8">
        <f>F42*8</f>
        <v>168</v>
      </c>
      <c r="H41" s="40"/>
    </row>
    <row r="42" spans="1:10" ht="13.95" customHeight="1" thickBot="1" x14ac:dyDescent="0.3">
      <c r="A42" s="4"/>
      <c r="B42" s="4"/>
      <c r="C42" s="9"/>
      <c r="D42" s="2"/>
      <c r="E42" s="10" t="s">
        <v>22</v>
      </c>
      <c r="F42" s="11">
        <v>21</v>
      </c>
      <c r="H42" s="40"/>
    </row>
    <row r="43" spans="1:10" ht="13.95" customHeight="1" thickBot="1" x14ac:dyDescent="0.3">
      <c r="A43" s="117" t="s">
        <v>23</v>
      </c>
      <c r="B43" s="117"/>
      <c r="C43" s="117"/>
      <c r="D43" s="12"/>
      <c r="E43" s="2"/>
      <c r="F43" s="2"/>
      <c r="H43" s="40"/>
    </row>
    <row r="44" spans="1:10" ht="13.8" x14ac:dyDescent="0.25">
      <c r="A44" s="13"/>
      <c r="B44" s="13"/>
      <c r="C44" s="6"/>
      <c r="D44" s="6"/>
      <c r="E44" s="14" t="s">
        <v>24</v>
      </c>
      <c r="F44" s="15">
        <f>SUMIF(F9:F39,"Billable",H9:H39)</f>
        <v>0.33333333333333331</v>
      </c>
      <c r="H44" s="38"/>
    </row>
    <row r="45" spans="1:10" ht="15" customHeight="1" thickBot="1" x14ac:dyDescent="0.3">
      <c r="A45" s="118" t="s">
        <v>25</v>
      </c>
      <c r="B45" s="118"/>
      <c r="C45" s="118"/>
      <c r="D45" s="16"/>
      <c r="E45" s="17" t="s">
        <v>26</v>
      </c>
      <c r="F45" s="18">
        <f>SUMIF(F9:F39,"Non-Billable",H9:H39)</f>
        <v>0.33333333333333331</v>
      </c>
      <c r="H45" s="40"/>
    </row>
    <row r="46" spans="1:10" ht="14.4" thickBot="1" x14ac:dyDescent="0.3">
      <c r="A46" s="2"/>
      <c r="B46" s="2"/>
      <c r="C46" s="2"/>
      <c r="D46" s="2"/>
      <c r="E46" s="19" t="s">
        <v>27</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28</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9:J9 I11:J39" xr:uid="{81BC4890-4524-4142-A9B9-69FAFFB0E5CE}">
      <formula1>0</formula1>
      <formula2>0.999988425925926</formula2>
    </dataValidation>
    <dataValidation type="time" allowBlank="1" showErrorMessage="1" errorTitle="Invalid Time Format" error="Please input a valid time. For e.g. 08:00" sqref="I10: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Key!$J$3:$J$4</xm:f>
          </x14:formula1>
          <xm:sqref>F9:F39</xm:sqref>
        </x14:dataValidation>
        <x14:dataValidation type="list" allowBlank="1" showInputMessage="1" showErrorMessage="1" xr:uid="{5C5F83BA-9649-414D-9B5C-5ED3D81B12A6}">
          <x14:formula1>
            <xm:f>Key!$B$2:$B$55</xm:f>
          </x14:formula1>
          <xm:sqref>C9 C11:C39</xm:sqref>
        </x14:dataValidation>
        <x14:dataValidation type="list" allowBlank="1" showInputMessage="1" showErrorMessage="1" xr:uid="{2695E27C-DD60-4A5C-9DB5-B57EE9107204}">
          <x14:formula1>
            <xm:f>Key!$F$3:$F$43</xm:f>
          </x14:formula1>
          <xm:sqref>E9 E11:E39</xm:sqref>
        </x14:dataValidation>
        <x14:dataValidation type="list" allowBlank="1" showInputMessage="1" showErrorMessage="1" xr:uid="{A41922FB-F5DC-441A-BE8B-CEC1E90C261B}">
          <x14:formula1>
            <xm:f>Key!$F$3:$F$46</xm:f>
          </x14:formula1>
          <xm:sqref>E10</xm:sqref>
        </x14:dataValidation>
        <x14:dataValidation type="list" allowBlank="1" showInputMessage="1" showErrorMessage="1" xr:uid="{50ADD4F9-3582-48D4-9C7B-FE16B0BB7F7D}">
          <x14:formula1>
            <xm:f>Key!$B$2:$B$50</xm:f>
          </x14:formula1>
          <xm:sqref>C10</xm:sqref>
        </x14:dataValidation>
        <x14:dataValidation type="list" allowBlank="1" showInputMessage="1" showErrorMessage="1" xr:uid="{59DFADC5-E3B8-482B-925E-D0C90DB0047C}">
          <x14:formula1>
            <xm:f>Key!$H$3:$H$87</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46"/>
  <sheetViews>
    <sheetView zoomScale="75" zoomScaleNormal="75" workbookViewId="0">
      <selection activeCell="D4" sqref="D4"/>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108</v>
      </c>
      <c r="C5" s="37"/>
      <c r="H5" s="40"/>
    </row>
    <row r="6" spans="1:10" x14ac:dyDescent="0.2">
      <c r="A6" s="37" t="s">
        <v>93</v>
      </c>
      <c r="B6" s="73">
        <f>F41</f>
        <v>0.33333333333333331</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46054</v>
      </c>
      <c r="B9" s="31" t="s">
        <v>16</v>
      </c>
      <c r="C9" s="32"/>
      <c r="D9" s="32"/>
      <c r="E9" s="32"/>
      <c r="F9" s="32"/>
      <c r="G9" s="33"/>
      <c r="H9" s="34">
        <f>J9-I9</f>
        <v>0</v>
      </c>
      <c r="I9" s="35"/>
      <c r="J9" s="35"/>
    </row>
    <row r="10" spans="1:10" x14ac:dyDescent="0.2">
      <c r="A10" s="22">
        <v>46055</v>
      </c>
      <c r="B10" s="22" t="s">
        <v>17</v>
      </c>
      <c r="C10" s="27" t="s">
        <v>133</v>
      </c>
      <c r="D10" s="27" t="s">
        <v>108</v>
      </c>
      <c r="E10" s="27" t="s">
        <v>31</v>
      </c>
      <c r="F10" s="27" t="s">
        <v>13</v>
      </c>
      <c r="G10" s="28" t="s">
        <v>109</v>
      </c>
      <c r="H10" s="29">
        <f t="shared" ref="H10" si="0">J10-I10</f>
        <v>0.33333333333333331</v>
      </c>
      <c r="I10" s="30">
        <v>0.33333333333333331</v>
      </c>
      <c r="J10" s="30">
        <v>0.66666666666666663</v>
      </c>
    </row>
    <row r="11" spans="1:10" x14ac:dyDescent="0.2">
      <c r="A11" s="22">
        <v>46056</v>
      </c>
      <c r="B11" s="22" t="s">
        <v>18</v>
      </c>
      <c r="C11" s="27"/>
      <c r="D11" s="27"/>
      <c r="E11" s="27"/>
      <c r="F11" s="27"/>
      <c r="G11" s="28"/>
      <c r="H11" s="29">
        <f t="shared" ref="H11:H36" si="1">J11-I11</f>
        <v>0</v>
      </c>
      <c r="I11" s="30"/>
      <c r="J11" s="30"/>
    </row>
    <row r="12" spans="1:10" x14ac:dyDescent="0.2">
      <c r="A12" s="22">
        <v>46057</v>
      </c>
      <c r="B12" s="22" t="s">
        <v>19</v>
      </c>
      <c r="C12" s="27"/>
      <c r="D12" s="27"/>
      <c r="E12" s="27"/>
      <c r="F12" s="27"/>
      <c r="G12" s="28"/>
      <c r="H12" s="29">
        <f t="shared" si="1"/>
        <v>0</v>
      </c>
      <c r="I12" s="30"/>
      <c r="J12" s="30"/>
    </row>
    <row r="13" spans="1:10" x14ac:dyDescent="0.2">
      <c r="A13" s="22">
        <v>46058</v>
      </c>
      <c r="B13" s="22" t="s">
        <v>20</v>
      </c>
      <c r="C13" s="27"/>
      <c r="D13" s="27"/>
      <c r="E13" s="27"/>
      <c r="F13" s="27"/>
      <c r="G13" s="28"/>
      <c r="H13" s="29">
        <f t="shared" si="1"/>
        <v>0</v>
      </c>
      <c r="I13" s="30"/>
      <c r="J13" s="30"/>
    </row>
    <row r="14" spans="1:10" x14ac:dyDescent="0.2">
      <c r="A14" s="22">
        <v>46059</v>
      </c>
      <c r="B14" s="22" t="s">
        <v>11</v>
      </c>
      <c r="C14" s="27"/>
      <c r="D14" s="27"/>
      <c r="E14" s="27"/>
      <c r="F14" s="27"/>
      <c r="G14" s="28"/>
      <c r="H14" s="29">
        <f t="shared" si="1"/>
        <v>0</v>
      </c>
      <c r="I14" s="30"/>
      <c r="J14" s="30"/>
    </row>
    <row r="15" spans="1:10" x14ac:dyDescent="0.2">
      <c r="A15" s="31">
        <v>46060</v>
      </c>
      <c r="B15" s="31" t="s">
        <v>14</v>
      </c>
      <c r="C15" s="32"/>
      <c r="D15" s="32"/>
      <c r="E15" s="32"/>
      <c r="F15" s="32"/>
      <c r="G15" s="33"/>
      <c r="H15" s="34">
        <f t="shared" si="1"/>
        <v>0</v>
      </c>
      <c r="I15" s="35"/>
      <c r="J15" s="35"/>
    </row>
    <row r="16" spans="1:10" x14ac:dyDescent="0.2">
      <c r="A16" s="31">
        <v>46061</v>
      </c>
      <c r="B16" s="31" t="s">
        <v>16</v>
      </c>
      <c r="C16" s="32"/>
      <c r="D16" s="32"/>
      <c r="E16" s="32"/>
      <c r="F16" s="32"/>
      <c r="G16" s="33"/>
      <c r="H16" s="34">
        <f t="shared" si="1"/>
        <v>0</v>
      </c>
      <c r="I16" s="35"/>
      <c r="J16" s="35"/>
    </row>
    <row r="17" spans="1:10" x14ac:dyDescent="0.2">
      <c r="A17" s="22">
        <v>46062</v>
      </c>
      <c r="B17" s="22" t="s">
        <v>17</v>
      </c>
      <c r="C17" s="27"/>
      <c r="D17" s="27"/>
      <c r="E17" s="27"/>
      <c r="F17" s="27"/>
      <c r="G17" s="28"/>
      <c r="H17" s="29">
        <f t="shared" si="1"/>
        <v>0</v>
      </c>
      <c r="I17" s="30"/>
      <c r="J17" s="30"/>
    </row>
    <row r="18" spans="1:10" x14ac:dyDescent="0.2">
      <c r="A18" s="22">
        <v>46063</v>
      </c>
      <c r="B18" s="22" t="s">
        <v>18</v>
      </c>
      <c r="C18" s="27"/>
      <c r="D18" s="27"/>
      <c r="E18" s="27"/>
      <c r="F18" s="27"/>
      <c r="G18" s="28"/>
      <c r="H18" s="29">
        <f t="shared" si="1"/>
        <v>0</v>
      </c>
      <c r="I18" s="30"/>
      <c r="J18" s="30"/>
    </row>
    <row r="19" spans="1:10" x14ac:dyDescent="0.2">
      <c r="A19" s="22">
        <v>46064</v>
      </c>
      <c r="B19" s="22" t="s">
        <v>19</v>
      </c>
      <c r="C19" s="27"/>
      <c r="D19" s="27"/>
      <c r="E19" s="27"/>
      <c r="F19" s="27"/>
      <c r="G19" s="28"/>
      <c r="H19" s="29">
        <f t="shared" si="1"/>
        <v>0</v>
      </c>
      <c r="I19" s="30"/>
      <c r="J19" s="30"/>
    </row>
    <row r="20" spans="1:10" x14ac:dyDescent="0.2">
      <c r="A20" s="22">
        <v>46065</v>
      </c>
      <c r="B20" s="22" t="s">
        <v>20</v>
      </c>
      <c r="C20" s="27"/>
      <c r="D20" s="27"/>
      <c r="E20" s="27"/>
      <c r="F20" s="27"/>
      <c r="G20" s="28"/>
      <c r="H20" s="29">
        <f t="shared" si="1"/>
        <v>0</v>
      </c>
      <c r="I20" s="30"/>
      <c r="J20" s="30"/>
    </row>
    <row r="21" spans="1:10" x14ac:dyDescent="0.2">
      <c r="A21" s="22">
        <v>46066</v>
      </c>
      <c r="B21" s="22" t="s">
        <v>11</v>
      </c>
      <c r="C21" s="27"/>
      <c r="D21" s="27"/>
      <c r="E21" s="27"/>
      <c r="F21" s="27"/>
      <c r="G21" s="28"/>
      <c r="H21" s="29">
        <f t="shared" si="1"/>
        <v>0</v>
      </c>
      <c r="I21" s="30"/>
      <c r="J21" s="30"/>
    </row>
    <row r="22" spans="1:10" x14ac:dyDescent="0.2">
      <c r="A22" s="31">
        <v>46067</v>
      </c>
      <c r="B22" s="31" t="s">
        <v>14</v>
      </c>
      <c r="C22" s="32"/>
      <c r="D22" s="32"/>
      <c r="E22" s="32"/>
      <c r="F22" s="32"/>
      <c r="G22" s="33"/>
      <c r="H22" s="34">
        <f t="shared" si="1"/>
        <v>0</v>
      </c>
      <c r="I22" s="35"/>
      <c r="J22" s="35"/>
    </row>
    <row r="23" spans="1:10" x14ac:dyDescent="0.2">
      <c r="A23" s="31">
        <v>46068</v>
      </c>
      <c r="B23" s="31" t="s">
        <v>16</v>
      </c>
      <c r="C23" s="32"/>
      <c r="D23" s="32"/>
      <c r="E23" s="32"/>
      <c r="F23" s="32"/>
      <c r="G23" s="33"/>
      <c r="H23" s="34">
        <f t="shared" si="1"/>
        <v>0</v>
      </c>
      <c r="I23" s="35"/>
      <c r="J23" s="35"/>
    </row>
    <row r="24" spans="1:10" x14ac:dyDescent="0.2">
      <c r="A24" s="22">
        <v>46069</v>
      </c>
      <c r="B24" s="22" t="s">
        <v>17</v>
      </c>
      <c r="C24" s="27"/>
      <c r="D24" s="27"/>
      <c r="E24" s="27"/>
      <c r="F24" s="27"/>
      <c r="G24" s="28"/>
      <c r="H24" s="29">
        <f t="shared" si="1"/>
        <v>0</v>
      </c>
      <c r="I24" s="30"/>
      <c r="J24" s="30"/>
    </row>
    <row r="25" spans="1:10" x14ac:dyDescent="0.2">
      <c r="A25" s="22">
        <v>46070</v>
      </c>
      <c r="B25" s="22" t="s">
        <v>18</v>
      </c>
      <c r="C25" s="27"/>
      <c r="D25" s="27"/>
      <c r="E25" s="27"/>
      <c r="F25" s="27"/>
      <c r="G25" s="28"/>
      <c r="H25" s="29">
        <f t="shared" si="1"/>
        <v>0</v>
      </c>
      <c r="I25" s="30"/>
      <c r="J25" s="30"/>
    </row>
    <row r="26" spans="1:10" x14ac:dyDescent="0.2">
      <c r="A26" s="22">
        <v>46071</v>
      </c>
      <c r="B26" s="22" t="s">
        <v>19</v>
      </c>
      <c r="C26" s="27"/>
      <c r="D26" s="27"/>
      <c r="E26" s="27"/>
      <c r="F26" s="27"/>
      <c r="G26" s="28"/>
      <c r="H26" s="29">
        <f t="shared" si="1"/>
        <v>0</v>
      </c>
      <c r="I26" s="30"/>
      <c r="J26" s="30"/>
    </row>
    <row r="27" spans="1:10" x14ac:dyDescent="0.2">
      <c r="A27" s="22">
        <v>46072</v>
      </c>
      <c r="B27" s="22" t="s">
        <v>20</v>
      </c>
      <c r="C27" s="27"/>
      <c r="D27" s="27"/>
      <c r="E27" s="27"/>
      <c r="F27" s="27"/>
      <c r="G27" s="28"/>
      <c r="H27" s="29">
        <f t="shared" si="1"/>
        <v>0</v>
      </c>
      <c r="I27" s="30"/>
      <c r="J27" s="30"/>
    </row>
    <row r="28" spans="1:10" x14ac:dyDescent="0.2">
      <c r="A28" s="22">
        <v>46073</v>
      </c>
      <c r="B28" s="22" t="s">
        <v>11</v>
      </c>
      <c r="C28" s="27"/>
      <c r="D28" s="27"/>
      <c r="E28" s="27"/>
      <c r="F28" s="27"/>
      <c r="G28" s="28"/>
      <c r="H28" s="29">
        <f t="shared" si="1"/>
        <v>0</v>
      </c>
      <c r="I28" s="30"/>
      <c r="J28" s="30"/>
    </row>
    <row r="29" spans="1:10" x14ac:dyDescent="0.2">
      <c r="A29" s="31">
        <v>46074</v>
      </c>
      <c r="B29" s="31" t="s">
        <v>14</v>
      </c>
      <c r="C29" s="32"/>
      <c r="D29" s="32"/>
      <c r="E29" s="32"/>
      <c r="F29" s="32"/>
      <c r="G29" s="33"/>
      <c r="H29" s="34">
        <f t="shared" si="1"/>
        <v>0</v>
      </c>
      <c r="I29" s="35"/>
      <c r="J29" s="35"/>
    </row>
    <row r="30" spans="1:10" x14ac:dyDescent="0.2">
      <c r="A30" s="31">
        <v>46075</v>
      </c>
      <c r="B30" s="31" t="s">
        <v>16</v>
      </c>
      <c r="C30" s="32"/>
      <c r="D30" s="32"/>
      <c r="E30" s="32"/>
      <c r="F30" s="32"/>
      <c r="G30" s="33"/>
      <c r="H30" s="34">
        <f t="shared" si="1"/>
        <v>0</v>
      </c>
      <c r="I30" s="35"/>
      <c r="J30" s="35"/>
    </row>
    <row r="31" spans="1:10" x14ac:dyDescent="0.2">
      <c r="A31" s="22">
        <v>46076</v>
      </c>
      <c r="B31" s="22" t="s">
        <v>17</v>
      </c>
      <c r="C31" s="27"/>
      <c r="D31" s="27"/>
      <c r="E31" s="27"/>
      <c r="F31" s="27"/>
      <c r="G31" s="28"/>
      <c r="H31" s="29">
        <f t="shared" si="1"/>
        <v>0</v>
      </c>
      <c r="I31" s="30"/>
      <c r="J31" s="30"/>
    </row>
    <row r="32" spans="1:10" x14ac:dyDescent="0.2">
      <c r="A32" s="22">
        <v>46077</v>
      </c>
      <c r="B32" s="22" t="s">
        <v>18</v>
      </c>
      <c r="C32" s="27"/>
      <c r="D32" s="27"/>
      <c r="E32" s="27"/>
      <c r="F32" s="27"/>
      <c r="G32" s="28"/>
      <c r="H32" s="29">
        <f t="shared" si="1"/>
        <v>0</v>
      </c>
      <c r="I32" s="30"/>
      <c r="J32" s="30"/>
    </row>
    <row r="33" spans="1:10" x14ac:dyDescent="0.2">
      <c r="A33" s="22">
        <v>46078</v>
      </c>
      <c r="B33" s="22" t="s">
        <v>19</v>
      </c>
      <c r="C33" s="27"/>
      <c r="D33" s="27"/>
      <c r="E33" s="27"/>
      <c r="F33" s="27"/>
      <c r="G33" s="28"/>
      <c r="H33" s="29">
        <f t="shared" si="1"/>
        <v>0</v>
      </c>
      <c r="I33" s="30"/>
      <c r="J33" s="30"/>
    </row>
    <row r="34" spans="1:10" x14ac:dyDescent="0.2">
      <c r="A34" s="22">
        <v>46079</v>
      </c>
      <c r="B34" s="22" t="s">
        <v>20</v>
      </c>
      <c r="C34" s="27"/>
      <c r="D34" s="27"/>
      <c r="E34" s="27"/>
      <c r="F34" s="27"/>
      <c r="G34" s="28"/>
      <c r="H34" s="29">
        <f t="shared" si="1"/>
        <v>0</v>
      </c>
      <c r="I34" s="30"/>
      <c r="J34" s="30"/>
    </row>
    <row r="35" spans="1:10" x14ac:dyDescent="0.2">
      <c r="A35" s="22">
        <v>46080</v>
      </c>
      <c r="B35" s="22" t="s">
        <v>11</v>
      </c>
      <c r="C35" s="27"/>
      <c r="D35" s="27"/>
      <c r="E35" s="27"/>
      <c r="F35" s="27"/>
      <c r="G35" s="28"/>
      <c r="H35" s="29">
        <f t="shared" si="1"/>
        <v>0</v>
      </c>
      <c r="I35" s="30"/>
      <c r="J35" s="30"/>
    </row>
    <row r="36" spans="1:10" x14ac:dyDescent="0.2">
      <c r="A36" s="31">
        <v>46081</v>
      </c>
      <c r="B36" s="31" t="s">
        <v>14</v>
      </c>
      <c r="C36" s="32"/>
      <c r="D36" s="32"/>
      <c r="E36" s="32"/>
      <c r="F36" s="32"/>
      <c r="G36" s="33"/>
      <c r="H36" s="34">
        <f t="shared" si="1"/>
        <v>0</v>
      </c>
      <c r="I36" s="35"/>
      <c r="J36" s="35"/>
    </row>
    <row r="37" spans="1:10" ht="13.95" customHeight="1" thickBot="1" x14ac:dyDescent="0.3">
      <c r="A37" s="46"/>
      <c r="B37" s="45"/>
      <c r="C37" s="45"/>
      <c r="D37" s="45"/>
      <c r="E37" s="45"/>
      <c r="F37" s="45"/>
      <c r="G37" s="45"/>
      <c r="H37" s="36"/>
      <c r="I37" s="37"/>
    </row>
    <row r="38" spans="1:10" ht="13.95" customHeight="1" x14ac:dyDescent="0.25">
      <c r="A38" s="4"/>
      <c r="B38" s="4"/>
      <c r="C38" s="5"/>
      <c r="D38" s="6"/>
      <c r="E38" s="7" t="s">
        <v>21</v>
      </c>
      <c r="F38" s="8">
        <f>F39*8</f>
        <v>160</v>
      </c>
      <c r="H38" s="40"/>
    </row>
    <row r="39" spans="1:10" ht="13.95" customHeight="1" thickBot="1" x14ac:dyDescent="0.3">
      <c r="A39" s="4"/>
      <c r="B39" s="4"/>
      <c r="C39" s="9"/>
      <c r="D39" s="2"/>
      <c r="E39" s="10" t="s">
        <v>22</v>
      </c>
      <c r="F39" s="11">
        <v>20</v>
      </c>
      <c r="H39" s="40"/>
    </row>
    <row r="40" spans="1:10" ht="13.95" customHeight="1" thickBot="1" x14ac:dyDescent="0.3">
      <c r="A40" s="117" t="s">
        <v>23</v>
      </c>
      <c r="B40" s="117"/>
      <c r="C40" s="117"/>
      <c r="D40" s="12"/>
      <c r="E40" s="2"/>
      <c r="F40" s="2"/>
      <c r="H40" s="40"/>
    </row>
    <row r="41" spans="1:10" ht="13.8" x14ac:dyDescent="0.25">
      <c r="A41" s="13"/>
      <c r="B41" s="13"/>
      <c r="C41" s="6"/>
      <c r="D41" s="6"/>
      <c r="E41" s="14" t="s">
        <v>24</v>
      </c>
      <c r="F41" s="15">
        <f>SUMIF(F9:F36,"Billable",H9:H36)</f>
        <v>0.33333333333333331</v>
      </c>
      <c r="H41" s="38"/>
    </row>
    <row r="42" spans="1:10" ht="15" customHeight="1" thickBot="1" x14ac:dyDescent="0.3">
      <c r="A42" s="118" t="s">
        <v>25</v>
      </c>
      <c r="B42" s="118"/>
      <c r="C42" s="118"/>
      <c r="D42" s="16"/>
      <c r="E42" s="17" t="s">
        <v>26</v>
      </c>
      <c r="F42" s="18">
        <f>SUMIF(F9:F36,"Non-Billable",H9:H36)</f>
        <v>0</v>
      </c>
      <c r="H42" s="40"/>
    </row>
    <row r="43" spans="1:10" ht="14.4" thickBot="1" x14ac:dyDescent="0.3">
      <c r="A43" s="2"/>
      <c r="B43" s="2"/>
      <c r="C43" s="2"/>
      <c r="D43" s="2"/>
      <c r="E43" s="19" t="s">
        <v>27</v>
      </c>
      <c r="F43" s="44">
        <f>F41+F42</f>
        <v>0.33333333333333331</v>
      </c>
      <c r="H43" s="40"/>
    </row>
    <row r="44" spans="1:10" ht="13.8" thickBot="1" x14ac:dyDescent="0.3">
      <c r="A44" s="2"/>
      <c r="B44" s="2"/>
      <c r="C44" s="2"/>
      <c r="D44" s="2"/>
      <c r="E44" s="2"/>
      <c r="F44" s="2"/>
      <c r="H44" s="40"/>
    </row>
    <row r="45" spans="1:10" ht="13.8" thickBot="1" x14ac:dyDescent="0.3">
      <c r="A45" s="2"/>
      <c r="B45" s="2"/>
      <c r="C45" s="2"/>
      <c r="D45" s="2"/>
      <c r="E45" s="20" t="s">
        <v>28</v>
      </c>
      <c r="F45" s="21"/>
      <c r="H45" s="40"/>
    </row>
    <row r="46" spans="1:10" ht="13.2" thickBot="1" x14ac:dyDescent="0.25">
      <c r="E46" s="39"/>
      <c r="H46" s="40"/>
    </row>
  </sheetData>
  <mergeCells count="2">
    <mergeCell ref="A40:C40"/>
    <mergeCell ref="A42:C42"/>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46">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37:E38 D40:E42 E45">
    <cfRule type="containsText" dxfId="22" priority="1" operator="containsText" text="Religious Leave">
      <formula>NOT(ISERROR(SEARCH("Religious Leave",D37)))</formula>
    </cfRule>
    <cfRule type="containsText" dxfId="21" priority="2" operator="containsText" text="Birthday Leave">
      <formula>NOT(ISERROR(SEARCH("Birthday Leave",D37)))</formula>
    </cfRule>
    <cfRule type="containsText" dxfId="20" priority="3" operator="containsText" text="Study Leave">
      <formula>NOT(ISERROR(SEARCH("Study Leave",D37)))</formula>
    </cfRule>
    <cfRule type="containsText" dxfId="19" priority="4" operator="containsText" text="Family Responsibility Leave">
      <formula>NOT(ISERROR(SEARCH("Family Responsibility Leave",D37)))</formula>
    </cfRule>
    <cfRule type="containsText" dxfId="18" priority="5" operator="containsText" text="Sick Leave">
      <formula>NOT(ISERROR(SEARCH("Sick Leave",D37)))</formula>
    </cfRule>
    <cfRule type="containsText" dxfId="17" priority="6" operator="containsText" text="Annual Leave">
      <formula>NOT(ISERROR(SEARCH("Annual Leave",D37)))</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36" xr:uid="{CE0786D6-D6FC-4D29-A71B-4E1546091D4D}">
      <formula1>0</formula1>
      <formula2>0.999988425925926</formula2>
    </dataValidation>
  </dataValidations>
  <pageMargins left="0.7" right="0.7" top="0.75" bottom="0.75" header="0.3" footer="0.3"/>
  <pageSetup paperSize="9" scale="75" orientation="portrait" horizontalDpi="4294967293" verticalDpi="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Key!$J$3:$J$4</xm:f>
          </x14:formula1>
          <xm:sqref>F9:F36</xm:sqref>
        </x14:dataValidation>
        <x14:dataValidation type="list" allowBlank="1" showInputMessage="1" showErrorMessage="1" xr:uid="{B2DFC771-5C46-4C68-BCEC-AB576F2398A7}">
          <x14:formula1>
            <xm:f>Key!$B$2:$B$48</xm:f>
          </x14:formula1>
          <xm:sqref>C9:C36</xm:sqref>
        </x14:dataValidation>
        <x14:dataValidation type="list" allowBlank="1" showInputMessage="1" showErrorMessage="1" xr:uid="{55545D3E-18E2-4FBA-A7F1-0F256C99991F}">
          <x14:formula1>
            <xm:f>Key!$F$3:$F$54</xm:f>
          </x14:formula1>
          <xm:sqref>E9:E36</xm:sqref>
        </x14:dataValidation>
        <x14:dataValidation type="list" allowBlank="1" showInputMessage="1" showErrorMessage="1" xr:uid="{6375413B-0301-4C39-BE43-5A483338A0E5}">
          <x14:formula1>
            <xm:f>Key!$H$3:$H$87</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72"/>
  <sheetViews>
    <sheetView tabSelected="1" zoomScale="54" zoomScaleNormal="75" workbookViewId="0">
      <selection activeCell="N56" sqref="N56"/>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2</v>
      </c>
      <c r="B5" s="23" t="s">
        <v>229</v>
      </c>
      <c r="C5" s="37"/>
      <c r="H5" s="40"/>
    </row>
    <row r="6" spans="1:10" x14ac:dyDescent="0.2">
      <c r="A6" s="37" t="s">
        <v>93</v>
      </c>
      <c r="B6" s="73">
        <f>F67</f>
        <v>0</v>
      </c>
      <c r="C6" s="37"/>
      <c r="D6" s="37"/>
      <c r="E6" s="37"/>
      <c r="H6" s="40"/>
      <c r="J6" s="41"/>
    </row>
    <row r="7" spans="1:10" x14ac:dyDescent="0.2">
      <c r="H7" s="40"/>
    </row>
    <row r="8" spans="1:10" ht="25.2" x14ac:dyDescent="0.2">
      <c r="A8" s="24" t="s">
        <v>0</v>
      </c>
      <c r="B8" s="25" t="s">
        <v>1</v>
      </c>
      <c r="C8" s="25" t="s">
        <v>3</v>
      </c>
      <c r="D8" s="25" t="s">
        <v>4</v>
      </c>
      <c r="E8" s="25" t="s">
        <v>5</v>
      </c>
      <c r="F8" s="25" t="s">
        <v>6</v>
      </c>
      <c r="G8" s="42" t="s">
        <v>7</v>
      </c>
      <c r="H8" s="26" t="s">
        <v>8</v>
      </c>
      <c r="I8" s="26" t="s">
        <v>9</v>
      </c>
      <c r="J8" s="43" t="s">
        <v>10</v>
      </c>
    </row>
    <row r="9" spans="1:10" x14ac:dyDescent="0.2">
      <c r="A9" s="31">
        <v>46082</v>
      </c>
      <c r="B9" s="31" t="s">
        <v>16</v>
      </c>
      <c r="C9" s="32"/>
      <c r="D9" s="32"/>
      <c r="E9" s="32"/>
      <c r="F9" s="32"/>
      <c r="G9" s="33"/>
      <c r="H9" s="34">
        <f>J9-I9</f>
        <v>0</v>
      </c>
      <c r="I9" s="35"/>
      <c r="J9" s="35"/>
    </row>
    <row r="10" spans="1:10" ht="25.2" x14ac:dyDescent="0.2">
      <c r="A10" s="22">
        <v>46083</v>
      </c>
      <c r="B10" s="22" t="s">
        <v>17</v>
      </c>
      <c r="C10" s="27" t="s">
        <v>133</v>
      </c>
      <c r="D10" s="27"/>
      <c r="E10" s="27" t="s">
        <v>41</v>
      </c>
      <c r="F10" s="27" t="s">
        <v>15</v>
      </c>
      <c r="G10" s="28" t="s">
        <v>232</v>
      </c>
      <c r="H10" s="29">
        <f t="shared" ref="H10:H61" si="0">J10-I10</f>
        <v>0.19166666666666671</v>
      </c>
      <c r="I10" s="30">
        <v>0.33333333333333331</v>
      </c>
      <c r="J10" s="30">
        <v>0.52500000000000002</v>
      </c>
    </row>
    <row r="11" spans="1:10" ht="37.799999999999997" x14ac:dyDescent="0.2">
      <c r="A11" s="22">
        <v>46083</v>
      </c>
      <c r="B11" s="22" t="s">
        <v>17</v>
      </c>
      <c r="C11" s="27" t="s">
        <v>133</v>
      </c>
      <c r="D11" s="27"/>
      <c r="E11" s="27" t="s">
        <v>41</v>
      </c>
      <c r="F11" s="27" t="s">
        <v>15</v>
      </c>
      <c r="G11" s="28" t="s">
        <v>233</v>
      </c>
      <c r="H11" s="29">
        <f t="shared" si="0"/>
        <v>0.16527777777777786</v>
      </c>
      <c r="I11" s="30">
        <v>0.54305555555555551</v>
      </c>
      <c r="J11" s="30">
        <v>0.70833333333333337</v>
      </c>
    </row>
    <row r="12" spans="1:10" ht="37.799999999999997" x14ac:dyDescent="0.2">
      <c r="A12" s="22">
        <v>46084</v>
      </c>
      <c r="B12" s="22" t="s">
        <v>18</v>
      </c>
      <c r="C12" s="27" t="s">
        <v>133</v>
      </c>
      <c r="D12" s="27"/>
      <c r="E12" s="27" t="s">
        <v>62</v>
      </c>
      <c r="F12" s="27" t="s">
        <v>15</v>
      </c>
      <c r="G12" s="28" t="s">
        <v>237</v>
      </c>
      <c r="H12" s="29">
        <f t="shared" si="0"/>
        <v>0.3215277777777778</v>
      </c>
      <c r="I12" s="30">
        <v>0.33333333333333331</v>
      </c>
      <c r="J12" s="30">
        <v>0.65486111111111112</v>
      </c>
    </row>
    <row r="13" spans="1:10" ht="25.2" x14ac:dyDescent="0.2">
      <c r="A13" s="22">
        <v>46085</v>
      </c>
      <c r="B13" s="22" t="s">
        <v>19</v>
      </c>
      <c r="C13" s="27" t="s">
        <v>133</v>
      </c>
      <c r="D13" s="27"/>
      <c r="E13" s="27" t="s">
        <v>62</v>
      </c>
      <c r="F13" s="27" t="s">
        <v>15</v>
      </c>
      <c r="G13" s="28" t="s">
        <v>234</v>
      </c>
      <c r="H13" s="29">
        <f t="shared" si="0"/>
        <v>0.17152777777777778</v>
      </c>
      <c r="I13" s="30">
        <v>0.33333333333333331</v>
      </c>
      <c r="J13" s="30">
        <v>0.50486111111111109</v>
      </c>
    </row>
    <row r="14" spans="1:10" ht="37.799999999999997" x14ac:dyDescent="0.2">
      <c r="A14" s="22">
        <v>46085</v>
      </c>
      <c r="B14" s="22" t="s">
        <v>19</v>
      </c>
      <c r="C14" s="27" t="s">
        <v>133</v>
      </c>
      <c r="D14" s="27"/>
      <c r="E14" s="27" t="s">
        <v>62</v>
      </c>
      <c r="F14" s="27" t="s">
        <v>15</v>
      </c>
      <c r="G14" s="28" t="s">
        <v>235</v>
      </c>
      <c r="H14" s="29">
        <f t="shared" si="0"/>
        <v>8.9583333333333348E-2</v>
      </c>
      <c r="I14" s="30">
        <v>0.54652777777777772</v>
      </c>
      <c r="J14" s="30">
        <v>0.63611111111111107</v>
      </c>
    </row>
    <row r="15" spans="1:10" ht="25.2" x14ac:dyDescent="0.2">
      <c r="A15" s="22">
        <v>46085</v>
      </c>
      <c r="B15" s="22" t="s">
        <v>19</v>
      </c>
      <c r="C15" s="27" t="s">
        <v>133</v>
      </c>
      <c r="D15" s="27"/>
      <c r="E15" s="27" t="s">
        <v>41</v>
      </c>
      <c r="F15" s="27" t="s">
        <v>15</v>
      </c>
      <c r="G15" s="28" t="s">
        <v>238</v>
      </c>
      <c r="H15" s="29">
        <f t="shared" si="0"/>
        <v>1.2500000000000067E-2</v>
      </c>
      <c r="I15" s="30">
        <v>0.69791666666666663</v>
      </c>
      <c r="J15" s="30">
        <v>0.7104166666666667</v>
      </c>
    </row>
    <row r="16" spans="1:10" ht="25.2" x14ac:dyDescent="0.2">
      <c r="A16" s="22">
        <v>46086</v>
      </c>
      <c r="B16" s="22" t="s">
        <v>20</v>
      </c>
      <c r="C16" s="27" t="s">
        <v>133</v>
      </c>
      <c r="D16" s="27"/>
      <c r="E16" s="27" t="s">
        <v>62</v>
      </c>
      <c r="F16" s="27" t="s">
        <v>15</v>
      </c>
      <c r="G16" s="28" t="s">
        <v>236</v>
      </c>
      <c r="H16" s="29">
        <f t="shared" si="0"/>
        <v>0.18055555555555552</v>
      </c>
      <c r="I16" s="30">
        <v>0.33333333333333331</v>
      </c>
      <c r="J16" s="30">
        <v>0.51388888888888884</v>
      </c>
    </row>
    <row r="17" spans="1:10" ht="25.2" x14ac:dyDescent="0.2">
      <c r="A17" s="22">
        <v>46086</v>
      </c>
      <c r="B17" s="22" t="s">
        <v>20</v>
      </c>
      <c r="C17" s="27" t="s">
        <v>133</v>
      </c>
      <c r="D17" s="27"/>
      <c r="E17" s="27" t="s">
        <v>41</v>
      </c>
      <c r="F17" s="27" t="s">
        <v>15</v>
      </c>
      <c r="G17" s="28" t="s">
        <v>239</v>
      </c>
      <c r="H17" s="29">
        <f t="shared" si="0"/>
        <v>0.17986111111111103</v>
      </c>
      <c r="I17" s="30">
        <v>0.55069444444444449</v>
      </c>
      <c r="J17" s="30">
        <v>0.73055555555555551</v>
      </c>
    </row>
    <row r="18" spans="1:10" ht="75.599999999999994" x14ac:dyDescent="0.2">
      <c r="A18" s="22">
        <v>46087</v>
      </c>
      <c r="B18" s="22" t="s">
        <v>11</v>
      </c>
      <c r="C18" s="27" t="s">
        <v>133</v>
      </c>
      <c r="D18" s="27"/>
      <c r="E18" s="27" t="s">
        <v>41</v>
      </c>
      <c r="F18" s="27" t="s">
        <v>15</v>
      </c>
      <c r="G18" s="28" t="s">
        <v>240</v>
      </c>
      <c r="H18" s="29">
        <f t="shared" si="0"/>
        <v>0.17152777777777778</v>
      </c>
      <c r="I18" s="30">
        <v>0.33333333333333331</v>
      </c>
      <c r="J18" s="30">
        <v>0.50486111111111109</v>
      </c>
    </row>
    <row r="19" spans="1:10" ht="50.4" x14ac:dyDescent="0.2">
      <c r="A19" s="22">
        <v>46087</v>
      </c>
      <c r="B19" s="22" t="s">
        <v>11</v>
      </c>
      <c r="C19" s="27" t="s">
        <v>133</v>
      </c>
      <c r="D19" s="27"/>
      <c r="E19" s="27" t="s">
        <v>41</v>
      </c>
      <c r="F19" s="27" t="s">
        <v>15</v>
      </c>
      <c r="G19" s="28" t="s">
        <v>241</v>
      </c>
      <c r="H19" s="29">
        <f t="shared" si="0"/>
        <v>0.19305555555555565</v>
      </c>
      <c r="I19" s="30">
        <v>0.54374999999999996</v>
      </c>
      <c r="J19" s="30">
        <v>0.7368055555555556</v>
      </c>
    </row>
    <row r="20" spans="1:10" x14ac:dyDescent="0.2">
      <c r="A20" s="31">
        <v>46088</v>
      </c>
      <c r="B20" s="31" t="s">
        <v>14</v>
      </c>
      <c r="C20" s="32"/>
      <c r="D20" s="32"/>
      <c r="E20" s="32"/>
      <c r="F20" s="32"/>
      <c r="G20" s="33"/>
      <c r="H20" s="34">
        <f t="shared" si="0"/>
        <v>0</v>
      </c>
      <c r="I20" s="35"/>
      <c r="J20" s="35"/>
    </row>
    <row r="21" spans="1:10" x14ac:dyDescent="0.2">
      <c r="A21" s="31">
        <v>46089</v>
      </c>
      <c r="B21" s="31" t="s">
        <v>16</v>
      </c>
      <c r="C21" s="32"/>
      <c r="D21" s="32"/>
      <c r="E21" s="32"/>
      <c r="F21" s="32"/>
      <c r="G21" s="33"/>
      <c r="H21" s="34">
        <f t="shared" si="0"/>
        <v>0</v>
      </c>
      <c r="I21" s="35"/>
      <c r="J21" s="35"/>
    </row>
    <row r="22" spans="1:10" ht="75.599999999999994" x14ac:dyDescent="0.2">
      <c r="A22" s="22">
        <v>46090</v>
      </c>
      <c r="B22" s="22" t="s">
        <v>17</v>
      </c>
      <c r="C22" s="27" t="s">
        <v>133</v>
      </c>
      <c r="D22" s="27"/>
      <c r="E22" s="27" t="s">
        <v>41</v>
      </c>
      <c r="F22" s="27" t="s">
        <v>15</v>
      </c>
      <c r="G22" s="28" t="s">
        <v>230</v>
      </c>
      <c r="H22" s="29">
        <f>J22-I22</f>
        <v>0.16666666666666669</v>
      </c>
      <c r="I22" s="30">
        <v>0.33333333333333331</v>
      </c>
      <c r="J22" s="30">
        <v>0.5</v>
      </c>
    </row>
    <row r="23" spans="1:10" ht="75.599999999999994" x14ac:dyDescent="0.2">
      <c r="A23" s="22">
        <v>46090</v>
      </c>
      <c r="B23" s="22" t="s">
        <v>17</v>
      </c>
      <c r="C23" s="27" t="s">
        <v>133</v>
      </c>
      <c r="D23" s="27"/>
      <c r="E23" s="27" t="s">
        <v>41</v>
      </c>
      <c r="F23" s="27" t="s">
        <v>15</v>
      </c>
      <c r="G23" s="28" t="s">
        <v>231</v>
      </c>
      <c r="H23" s="29">
        <f>J23-I23</f>
        <v>0.17638888888888893</v>
      </c>
      <c r="I23" s="30">
        <v>0.54166666666666663</v>
      </c>
      <c r="J23" s="30">
        <v>0.71805555555555556</v>
      </c>
    </row>
    <row r="24" spans="1:10" ht="113.4" x14ac:dyDescent="0.2">
      <c r="A24" s="22">
        <v>46091</v>
      </c>
      <c r="B24" s="22" t="s">
        <v>18</v>
      </c>
      <c r="C24" s="27" t="s">
        <v>133</v>
      </c>
      <c r="D24" s="27"/>
      <c r="E24" s="27" t="s">
        <v>62</v>
      </c>
      <c r="F24" s="27" t="s">
        <v>15</v>
      </c>
      <c r="G24" s="28" t="s">
        <v>242</v>
      </c>
      <c r="H24" s="29">
        <f t="shared" si="0"/>
        <v>0.17569444444444443</v>
      </c>
      <c r="I24" s="30">
        <v>0.33333333333333331</v>
      </c>
      <c r="J24" s="30">
        <v>0.50902777777777775</v>
      </c>
    </row>
    <row r="25" spans="1:10" ht="126" x14ac:dyDescent="0.2">
      <c r="A25" s="22">
        <v>46091</v>
      </c>
      <c r="B25" s="22" t="s">
        <v>18</v>
      </c>
      <c r="C25" s="27" t="s">
        <v>133</v>
      </c>
      <c r="D25" s="27"/>
      <c r="E25" s="27" t="s">
        <v>41</v>
      </c>
      <c r="F25" s="27" t="s">
        <v>15</v>
      </c>
      <c r="G25" s="28" t="s">
        <v>243</v>
      </c>
      <c r="H25" s="29">
        <f t="shared" si="0"/>
        <v>0.17569444444444438</v>
      </c>
      <c r="I25" s="30">
        <v>0.54861111111111116</v>
      </c>
      <c r="J25" s="30">
        <v>0.72430555555555554</v>
      </c>
    </row>
    <row r="26" spans="1:10" ht="100.8" x14ac:dyDescent="0.2">
      <c r="A26" s="22">
        <v>46092</v>
      </c>
      <c r="B26" s="22" t="s">
        <v>19</v>
      </c>
      <c r="C26" s="27" t="s">
        <v>133</v>
      </c>
      <c r="D26" s="27"/>
      <c r="E26" s="27" t="s">
        <v>41</v>
      </c>
      <c r="F26" s="27" t="s">
        <v>15</v>
      </c>
      <c r="G26" s="28" t="s">
        <v>244</v>
      </c>
      <c r="H26" s="29">
        <f>J26-I26</f>
        <v>0.18472222222222229</v>
      </c>
      <c r="I26" s="30">
        <v>0.33333333333333331</v>
      </c>
      <c r="J26" s="30">
        <v>0.5180555555555556</v>
      </c>
    </row>
    <row r="27" spans="1:10" ht="63" x14ac:dyDescent="0.2">
      <c r="A27" s="22">
        <v>46092</v>
      </c>
      <c r="B27" s="22" t="s">
        <v>19</v>
      </c>
      <c r="C27" s="27" t="s">
        <v>133</v>
      </c>
      <c r="D27" s="27"/>
      <c r="E27" s="27" t="s">
        <v>41</v>
      </c>
      <c r="F27" s="27" t="s">
        <v>15</v>
      </c>
      <c r="G27" s="40" t="s">
        <v>245</v>
      </c>
      <c r="H27" s="29">
        <f t="shared" si="0"/>
        <v>4.9999999999999933E-2</v>
      </c>
      <c r="I27" s="30">
        <v>0.55138888888888893</v>
      </c>
      <c r="J27" s="30">
        <v>0.60138888888888886</v>
      </c>
    </row>
    <row r="28" spans="1:10" ht="100.8" x14ac:dyDescent="0.2">
      <c r="A28" s="22">
        <v>46092</v>
      </c>
      <c r="B28" s="22" t="s">
        <v>19</v>
      </c>
      <c r="C28" s="27" t="s">
        <v>133</v>
      </c>
      <c r="D28" s="27"/>
      <c r="E28" s="27" t="s">
        <v>41</v>
      </c>
      <c r="F28" s="27" t="s">
        <v>15</v>
      </c>
      <c r="G28" s="40" t="s">
        <v>246</v>
      </c>
      <c r="H28" s="29">
        <f t="shared" si="0"/>
        <v>8.3333333333333259E-2</v>
      </c>
      <c r="I28" s="30">
        <v>0.64583333333333337</v>
      </c>
      <c r="J28" s="30">
        <v>0.72916666666666663</v>
      </c>
    </row>
    <row r="29" spans="1:10" ht="50.4" x14ac:dyDescent="0.2">
      <c r="A29" s="22">
        <v>46093</v>
      </c>
      <c r="B29" s="22" t="s">
        <v>20</v>
      </c>
      <c r="C29" s="27" t="s">
        <v>133</v>
      </c>
      <c r="D29" s="27"/>
      <c r="E29" s="27" t="s">
        <v>41</v>
      </c>
      <c r="F29" s="27" t="s">
        <v>15</v>
      </c>
      <c r="G29" s="28" t="s">
        <v>247</v>
      </c>
      <c r="H29" s="29">
        <f t="shared" si="0"/>
        <v>0.17638888888888887</v>
      </c>
      <c r="I29" s="30">
        <v>0.33333333333333331</v>
      </c>
      <c r="J29" s="30">
        <v>0.50972222222222219</v>
      </c>
    </row>
    <row r="30" spans="1:10" ht="75.599999999999994" x14ac:dyDescent="0.2">
      <c r="A30" s="22">
        <v>46093</v>
      </c>
      <c r="B30" s="22" t="s">
        <v>20</v>
      </c>
      <c r="C30" s="27" t="s">
        <v>133</v>
      </c>
      <c r="D30" s="27"/>
      <c r="E30" s="23" t="s">
        <v>41</v>
      </c>
      <c r="F30" s="27" t="s">
        <v>15</v>
      </c>
      <c r="G30" s="28" t="s">
        <v>248</v>
      </c>
      <c r="H30" s="29">
        <f t="shared" si="0"/>
        <v>0.16874999999999996</v>
      </c>
      <c r="I30" s="30">
        <v>0.54861111111111116</v>
      </c>
      <c r="J30" s="30">
        <v>0.71736111111111112</v>
      </c>
    </row>
    <row r="31" spans="1:10" ht="100.8" x14ac:dyDescent="0.2">
      <c r="A31" s="22">
        <v>46094</v>
      </c>
      <c r="B31" s="22" t="s">
        <v>11</v>
      </c>
      <c r="C31" s="27" t="s">
        <v>133</v>
      </c>
      <c r="D31" s="27"/>
      <c r="E31" s="23" t="s">
        <v>41</v>
      </c>
      <c r="F31" s="27" t="s">
        <v>15</v>
      </c>
      <c r="G31" s="28" t="s">
        <v>249</v>
      </c>
      <c r="H31" s="29">
        <f t="shared" si="0"/>
        <v>0.1881944444444445</v>
      </c>
      <c r="I31" s="30">
        <v>0.33333333333333331</v>
      </c>
      <c r="J31" s="30">
        <v>0.52152777777777781</v>
      </c>
    </row>
    <row r="32" spans="1:10" ht="75.599999999999994" x14ac:dyDescent="0.2">
      <c r="A32" s="22">
        <v>46094</v>
      </c>
      <c r="B32" s="22" t="s">
        <v>11</v>
      </c>
      <c r="C32" s="27" t="s">
        <v>133</v>
      </c>
      <c r="D32" s="27"/>
      <c r="E32" s="23" t="s">
        <v>41</v>
      </c>
      <c r="F32" s="27" t="s">
        <v>15</v>
      </c>
      <c r="G32" s="28" t="s">
        <v>250</v>
      </c>
      <c r="H32" s="29">
        <f t="shared" si="0"/>
        <v>0.15138888888888891</v>
      </c>
      <c r="I32" s="30">
        <v>0.56597222222222221</v>
      </c>
      <c r="J32" s="30">
        <v>0.71736111111111112</v>
      </c>
    </row>
    <row r="33" spans="1:10" x14ac:dyDescent="0.2">
      <c r="A33" s="31">
        <v>46095</v>
      </c>
      <c r="B33" s="31" t="s">
        <v>14</v>
      </c>
      <c r="C33" s="32"/>
      <c r="D33" s="32"/>
      <c r="E33" s="32"/>
      <c r="F33" s="32"/>
      <c r="G33" s="33"/>
      <c r="H33" s="34">
        <f t="shared" si="0"/>
        <v>0</v>
      </c>
      <c r="I33" s="35"/>
      <c r="J33" s="35"/>
    </row>
    <row r="34" spans="1:10" x14ac:dyDescent="0.2">
      <c r="A34" s="31">
        <v>46096</v>
      </c>
      <c r="B34" s="31" t="s">
        <v>16</v>
      </c>
      <c r="C34" s="32"/>
      <c r="D34" s="32"/>
      <c r="E34" s="32"/>
      <c r="F34" s="32"/>
      <c r="G34" s="33"/>
      <c r="H34" s="34">
        <f t="shared" si="0"/>
        <v>0</v>
      </c>
      <c r="I34" s="35"/>
      <c r="J34" s="35"/>
    </row>
    <row r="35" spans="1:10" ht="126" x14ac:dyDescent="0.2">
      <c r="A35" s="22">
        <v>46097</v>
      </c>
      <c r="B35" s="22" t="s">
        <v>17</v>
      </c>
      <c r="C35" s="27" t="s">
        <v>133</v>
      </c>
      <c r="D35" s="27"/>
      <c r="E35" s="27" t="s">
        <v>41</v>
      </c>
      <c r="F35" s="27" t="s">
        <v>15</v>
      </c>
      <c r="G35" s="28" t="s">
        <v>251</v>
      </c>
      <c r="H35" s="116">
        <f t="shared" si="0"/>
        <v>0.19236111111111115</v>
      </c>
      <c r="I35" s="30">
        <v>0.33333333333333331</v>
      </c>
      <c r="J35" s="30">
        <v>0.52569444444444446</v>
      </c>
    </row>
    <row r="36" spans="1:10" ht="113.4" x14ac:dyDescent="0.2">
      <c r="A36" s="22">
        <v>46097</v>
      </c>
      <c r="B36" s="22" t="s">
        <v>17</v>
      </c>
      <c r="C36" s="27" t="s">
        <v>133</v>
      </c>
      <c r="D36" s="27"/>
      <c r="E36" s="27" t="s">
        <v>41</v>
      </c>
      <c r="F36" s="27" t="s">
        <v>15</v>
      </c>
      <c r="G36" s="28" t="s">
        <v>252</v>
      </c>
      <c r="H36" s="116">
        <f t="shared" si="0"/>
        <v>0.1479166666666667</v>
      </c>
      <c r="I36" s="30">
        <v>0.56736111111111109</v>
      </c>
      <c r="J36" s="30">
        <v>0.71527777777777779</v>
      </c>
    </row>
    <row r="37" spans="1:10" ht="151.19999999999999" x14ac:dyDescent="0.2">
      <c r="A37" s="22">
        <v>46098</v>
      </c>
      <c r="B37" s="22" t="s">
        <v>18</v>
      </c>
      <c r="C37" s="27" t="s">
        <v>133</v>
      </c>
      <c r="D37" s="27"/>
      <c r="E37" s="27" t="s">
        <v>41</v>
      </c>
      <c r="F37" s="27" t="s">
        <v>15</v>
      </c>
      <c r="G37" s="28" t="s">
        <v>253</v>
      </c>
      <c r="H37" s="29">
        <f t="shared" si="0"/>
        <v>0.19027777777777782</v>
      </c>
      <c r="I37" s="30">
        <v>0.33333333333333331</v>
      </c>
      <c r="J37" s="30">
        <v>0.52361111111111114</v>
      </c>
    </row>
    <row r="38" spans="1:10" ht="113.4" x14ac:dyDescent="0.2">
      <c r="A38" s="22">
        <v>46098</v>
      </c>
      <c r="B38" s="22" t="s">
        <v>18</v>
      </c>
      <c r="C38" s="27" t="s">
        <v>133</v>
      </c>
      <c r="D38" s="27"/>
      <c r="E38" s="27" t="s">
        <v>62</v>
      </c>
      <c r="F38" s="27" t="s">
        <v>15</v>
      </c>
      <c r="G38" s="28" t="s">
        <v>254</v>
      </c>
      <c r="H38" s="29">
        <f t="shared" si="0"/>
        <v>0.19444444444444442</v>
      </c>
      <c r="I38" s="30">
        <v>0.55902777777777779</v>
      </c>
      <c r="J38" s="30">
        <v>0.75347222222222221</v>
      </c>
    </row>
    <row r="39" spans="1:10" ht="163.80000000000001" x14ac:dyDescent="0.2">
      <c r="A39" s="22">
        <v>46099</v>
      </c>
      <c r="B39" s="22" t="s">
        <v>19</v>
      </c>
      <c r="C39" s="27" t="s">
        <v>133</v>
      </c>
      <c r="D39" s="27"/>
      <c r="E39" s="27" t="s">
        <v>41</v>
      </c>
      <c r="F39" s="27" t="s">
        <v>15</v>
      </c>
      <c r="G39" s="28" t="s">
        <v>255</v>
      </c>
      <c r="H39" s="29">
        <f t="shared" si="0"/>
        <v>0.18402777777777785</v>
      </c>
      <c r="I39" s="30">
        <v>0.33333333333333331</v>
      </c>
      <c r="J39" s="30">
        <v>0.51736111111111116</v>
      </c>
    </row>
    <row r="40" spans="1:10" ht="190.8" customHeight="1" x14ac:dyDescent="0.2">
      <c r="A40" s="22">
        <v>46099</v>
      </c>
      <c r="B40" s="22" t="s">
        <v>19</v>
      </c>
      <c r="C40" s="27" t="s">
        <v>133</v>
      </c>
      <c r="D40" s="27"/>
      <c r="E40" s="27" t="s">
        <v>41</v>
      </c>
      <c r="F40" s="27" t="s">
        <v>15</v>
      </c>
      <c r="G40" s="28" t="s">
        <v>256</v>
      </c>
      <c r="H40" s="29">
        <f t="shared" si="0"/>
        <v>0.15833333333333333</v>
      </c>
      <c r="I40" s="30">
        <v>0.55902777777777779</v>
      </c>
      <c r="J40" s="30">
        <v>0.71736111111111112</v>
      </c>
    </row>
    <row r="41" spans="1:10" ht="100.8" x14ac:dyDescent="0.2">
      <c r="A41" s="22">
        <v>46100</v>
      </c>
      <c r="B41" s="22" t="s">
        <v>20</v>
      </c>
      <c r="C41" s="27" t="s">
        <v>133</v>
      </c>
      <c r="D41" s="27"/>
      <c r="E41" s="27" t="s">
        <v>41</v>
      </c>
      <c r="F41" s="27" t="s">
        <v>15</v>
      </c>
      <c r="G41" s="28" t="s">
        <v>257</v>
      </c>
      <c r="H41" s="29">
        <f t="shared" si="0"/>
        <v>0.19444444444444448</v>
      </c>
      <c r="I41" s="30">
        <v>0.33333333333333331</v>
      </c>
      <c r="J41" s="30">
        <v>0.52777777777777779</v>
      </c>
    </row>
    <row r="42" spans="1:10" ht="88.2" x14ac:dyDescent="0.2">
      <c r="A42" s="22">
        <v>46100</v>
      </c>
      <c r="B42" s="22" t="s">
        <v>20</v>
      </c>
      <c r="C42" s="27" t="s">
        <v>133</v>
      </c>
      <c r="D42" s="27"/>
      <c r="E42" s="27" t="s">
        <v>41</v>
      </c>
      <c r="F42" s="27" t="s">
        <v>15</v>
      </c>
      <c r="G42" s="28" t="s">
        <v>258</v>
      </c>
      <c r="H42" s="29">
        <f t="shared" si="0"/>
        <v>0.15902777777777777</v>
      </c>
      <c r="I42" s="30">
        <v>0.56944444444444442</v>
      </c>
      <c r="J42" s="30">
        <v>0.72847222222222219</v>
      </c>
    </row>
    <row r="43" spans="1:10" ht="100.8" x14ac:dyDescent="0.2">
      <c r="A43" s="22">
        <v>46101</v>
      </c>
      <c r="B43" s="22" t="s">
        <v>11</v>
      </c>
      <c r="C43" s="27" t="s">
        <v>133</v>
      </c>
      <c r="D43" s="27"/>
      <c r="E43" s="27" t="s">
        <v>41</v>
      </c>
      <c r="F43" s="27" t="s">
        <v>15</v>
      </c>
      <c r="G43" s="28" t="s">
        <v>259</v>
      </c>
      <c r="H43" s="29">
        <f t="shared" si="0"/>
        <v>0.16666666666666669</v>
      </c>
      <c r="I43" s="30">
        <v>0.33333333333333331</v>
      </c>
      <c r="J43" s="30">
        <v>0.5</v>
      </c>
    </row>
    <row r="44" spans="1:10" ht="100.8" x14ac:dyDescent="0.2">
      <c r="A44" s="22">
        <v>46101</v>
      </c>
      <c r="B44" s="22" t="s">
        <v>11</v>
      </c>
      <c r="C44" s="27" t="s">
        <v>133</v>
      </c>
      <c r="D44" s="27"/>
      <c r="E44" s="27" t="s">
        <v>41</v>
      </c>
      <c r="F44" s="27" t="s">
        <v>15</v>
      </c>
      <c r="G44" s="28" t="s">
        <v>260</v>
      </c>
      <c r="H44" s="29">
        <f t="shared" si="0"/>
        <v>0.17986111111111114</v>
      </c>
      <c r="I44" s="30">
        <v>0.54027777777777775</v>
      </c>
      <c r="J44" s="30">
        <v>0.72013888888888888</v>
      </c>
    </row>
    <row r="45" spans="1:10" x14ac:dyDescent="0.2">
      <c r="A45" s="31">
        <v>46102</v>
      </c>
      <c r="B45" s="22" t="s">
        <v>14</v>
      </c>
      <c r="C45" s="48" t="s">
        <v>133</v>
      </c>
      <c r="D45" s="48"/>
      <c r="E45" s="48" t="s">
        <v>90</v>
      </c>
      <c r="F45" s="48" t="s">
        <v>15</v>
      </c>
      <c r="G45" s="49" t="s">
        <v>107</v>
      </c>
      <c r="H45" s="50">
        <f t="shared" si="0"/>
        <v>0.33333333333333331</v>
      </c>
      <c r="I45" s="51">
        <v>0.33333333333333331</v>
      </c>
      <c r="J45" s="51">
        <v>0.66666666666666663</v>
      </c>
    </row>
    <row r="46" spans="1:10" x14ac:dyDescent="0.2">
      <c r="A46" s="31">
        <v>46103</v>
      </c>
      <c r="B46" s="22" t="s">
        <v>16</v>
      </c>
      <c r="C46" s="32"/>
      <c r="D46" s="32"/>
      <c r="E46" s="32"/>
      <c r="F46" s="32"/>
      <c r="G46" s="33"/>
      <c r="H46" s="34">
        <f t="shared" si="0"/>
        <v>0</v>
      </c>
      <c r="I46" s="35"/>
      <c r="J46" s="35"/>
    </row>
    <row r="47" spans="1:10" ht="63" x14ac:dyDescent="0.2">
      <c r="A47" s="22">
        <v>46104</v>
      </c>
      <c r="B47" s="22" t="s">
        <v>17</v>
      </c>
      <c r="C47" s="27" t="s">
        <v>133</v>
      </c>
      <c r="D47" s="27"/>
      <c r="E47" s="27" t="s">
        <v>41</v>
      </c>
      <c r="F47" s="27" t="s">
        <v>15</v>
      </c>
      <c r="G47" s="28" t="s">
        <v>261</v>
      </c>
      <c r="H47" s="29">
        <f t="shared" si="0"/>
        <v>0.19861111111111113</v>
      </c>
      <c r="I47" s="30">
        <v>0.33333333333333331</v>
      </c>
      <c r="J47" s="30">
        <v>0.53194444444444444</v>
      </c>
    </row>
    <row r="48" spans="1:10" ht="151.19999999999999" x14ac:dyDescent="0.2">
      <c r="A48" s="22">
        <v>46104</v>
      </c>
      <c r="B48" s="22" t="s">
        <v>17</v>
      </c>
      <c r="C48" s="27" t="s">
        <v>133</v>
      </c>
      <c r="D48" s="27"/>
      <c r="E48" s="27" t="s">
        <v>41</v>
      </c>
      <c r="F48" s="27" t="s">
        <v>15</v>
      </c>
      <c r="G48" s="28" t="s">
        <v>262</v>
      </c>
      <c r="H48" s="29">
        <f t="shared" si="0"/>
        <v>0.1479166666666667</v>
      </c>
      <c r="I48" s="30">
        <v>0.57222222222222219</v>
      </c>
      <c r="J48" s="30">
        <v>0.72013888888888888</v>
      </c>
    </row>
    <row r="49" spans="1:10" ht="50.4" x14ac:dyDescent="0.2">
      <c r="A49" s="22">
        <v>46105</v>
      </c>
      <c r="B49" s="22" t="s">
        <v>18</v>
      </c>
      <c r="C49" s="27" t="s">
        <v>133</v>
      </c>
      <c r="D49" s="27"/>
      <c r="E49" s="27" t="s">
        <v>41</v>
      </c>
      <c r="F49" s="27" t="s">
        <v>15</v>
      </c>
      <c r="G49" s="28" t="s">
        <v>263</v>
      </c>
      <c r="H49" s="29">
        <f t="shared" si="0"/>
        <v>0.19444444444444448</v>
      </c>
      <c r="I49" s="30">
        <v>0.33333333333333331</v>
      </c>
      <c r="J49" s="30">
        <v>0.52777777777777779</v>
      </c>
    </row>
    <row r="50" spans="1:10" ht="144" customHeight="1" x14ac:dyDescent="0.2">
      <c r="A50" s="22">
        <v>46105</v>
      </c>
      <c r="B50" s="22" t="s">
        <v>18</v>
      </c>
      <c r="C50" s="27" t="s">
        <v>133</v>
      </c>
      <c r="D50" s="27"/>
      <c r="E50" s="27" t="s">
        <v>41</v>
      </c>
      <c r="F50" s="27" t="s">
        <v>15</v>
      </c>
      <c r="G50" s="28" t="s">
        <v>264</v>
      </c>
      <c r="H50" s="29">
        <f t="shared" si="0"/>
        <v>0.14930555555555558</v>
      </c>
      <c r="I50" s="30">
        <v>0.56944444444444442</v>
      </c>
      <c r="J50" s="30">
        <v>0.71875</v>
      </c>
    </row>
    <row r="51" spans="1:10" ht="63" x14ac:dyDescent="0.2">
      <c r="A51" s="22">
        <v>46106</v>
      </c>
      <c r="B51" s="22" t="s">
        <v>19</v>
      </c>
      <c r="C51" s="27" t="s">
        <v>133</v>
      </c>
      <c r="D51" s="27"/>
      <c r="E51" s="27" t="s">
        <v>41</v>
      </c>
      <c r="F51" s="27" t="s">
        <v>15</v>
      </c>
      <c r="G51" s="28" t="s">
        <v>265</v>
      </c>
      <c r="H51" s="29">
        <f t="shared" si="0"/>
        <v>0.19722222222222224</v>
      </c>
      <c r="I51" s="30">
        <v>0.33333333333333331</v>
      </c>
      <c r="J51" s="30">
        <v>0.53055555555555556</v>
      </c>
    </row>
    <row r="52" spans="1:10" ht="126" x14ac:dyDescent="0.2">
      <c r="A52" s="22">
        <v>46106</v>
      </c>
      <c r="B52" s="22" t="s">
        <v>19</v>
      </c>
      <c r="C52" s="27" t="s">
        <v>133</v>
      </c>
      <c r="D52" s="27"/>
      <c r="E52" s="27" t="s">
        <v>41</v>
      </c>
      <c r="F52" s="27" t="s">
        <v>15</v>
      </c>
      <c r="G52" s="28" t="s">
        <v>266</v>
      </c>
      <c r="H52" s="29">
        <f t="shared" si="0"/>
        <v>0.18819444444444444</v>
      </c>
      <c r="I52" s="30">
        <v>0.56874999999999998</v>
      </c>
      <c r="J52" s="30">
        <v>0.75694444444444442</v>
      </c>
    </row>
    <row r="53" spans="1:10" ht="113.4" x14ac:dyDescent="0.2">
      <c r="A53" s="22">
        <v>46107</v>
      </c>
      <c r="B53" s="22" t="s">
        <v>20</v>
      </c>
      <c r="C53" s="27" t="s">
        <v>133</v>
      </c>
      <c r="D53" s="27"/>
      <c r="E53" s="27" t="s">
        <v>41</v>
      </c>
      <c r="F53" s="27" t="s">
        <v>15</v>
      </c>
      <c r="G53" s="28" t="s">
        <v>267</v>
      </c>
      <c r="H53" s="29">
        <f t="shared" si="0"/>
        <v>0.18888888888888894</v>
      </c>
      <c r="I53" s="30">
        <v>0.33333333333333331</v>
      </c>
      <c r="J53" s="30">
        <v>0.52222222222222225</v>
      </c>
    </row>
    <row r="54" spans="1:10" ht="100.8" x14ac:dyDescent="0.2">
      <c r="A54" s="22">
        <v>46107</v>
      </c>
      <c r="B54" s="22" t="s">
        <v>20</v>
      </c>
      <c r="C54" s="27" t="s">
        <v>133</v>
      </c>
      <c r="D54" s="27"/>
      <c r="E54" s="27" t="s">
        <v>41</v>
      </c>
      <c r="F54" s="27" t="s">
        <v>15</v>
      </c>
      <c r="G54" s="28" t="s">
        <v>268</v>
      </c>
      <c r="H54" s="29">
        <f t="shared" si="0"/>
        <v>0.17569444444444449</v>
      </c>
      <c r="I54" s="30">
        <v>0.56388888888888888</v>
      </c>
      <c r="J54" s="30">
        <v>0.73958333333333337</v>
      </c>
    </row>
    <row r="55" spans="1:10" ht="100.8" x14ac:dyDescent="0.2">
      <c r="A55" s="22">
        <v>46108</v>
      </c>
      <c r="B55" s="22" t="s">
        <v>11</v>
      </c>
      <c r="C55" s="27" t="s">
        <v>133</v>
      </c>
      <c r="D55" s="27"/>
      <c r="E55" s="27" t="s">
        <v>41</v>
      </c>
      <c r="F55" s="27" t="s">
        <v>15</v>
      </c>
      <c r="G55" s="28" t="s">
        <v>269</v>
      </c>
      <c r="H55" s="29">
        <f t="shared" si="0"/>
        <v>0.19444444444444448</v>
      </c>
      <c r="I55" s="30">
        <v>0.33333333333333331</v>
      </c>
      <c r="J55" s="30">
        <v>0.52777777777777779</v>
      </c>
    </row>
    <row r="56" spans="1:10" ht="126" x14ac:dyDescent="0.2">
      <c r="A56" s="22">
        <v>46108</v>
      </c>
      <c r="B56" s="22" t="s">
        <v>11</v>
      </c>
      <c r="C56" s="27" t="s">
        <v>133</v>
      </c>
      <c r="D56" s="27"/>
      <c r="E56" s="27" t="s">
        <v>41</v>
      </c>
      <c r="F56" s="27" t="s">
        <v>15</v>
      </c>
      <c r="G56" s="28" t="s">
        <v>270</v>
      </c>
      <c r="H56" s="29">
        <f t="shared" si="0"/>
        <v>0.13888888888888895</v>
      </c>
      <c r="I56" s="30">
        <v>0.56944444444444442</v>
      </c>
      <c r="J56" s="30">
        <v>0.70833333333333337</v>
      </c>
    </row>
    <row r="57" spans="1:10" x14ac:dyDescent="0.2">
      <c r="A57" s="31">
        <v>46109</v>
      </c>
      <c r="B57" s="31" t="s">
        <v>14</v>
      </c>
      <c r="C57" s="32"/>
      <c r="D57" s="32"/>
      <c r="E57" s="32"/>
      <c r="F57" s="32"/>
      <c r="G57" s="33"/>
      <c r="H57" s="34">
        <f t="shared" si="0"/>
        <v>0</v>
      </c>
      <c r="I57" s="35"/>
      <c r="J57" s="35"/>
    </row>
    <row r="58" spans="1:10" x14ac:dyDescent="0.2">
      <c r="A58" s="31">
        <v>46110</v>
      </c>
      <c r="B58" s="31" t="s">
        <v>16</v>
      </c>
      <c r="C58" s="32"/>
      <c r="D58" s="32"/>
      <c r="E58" s="32"/>
      <c r="F58" s="32"/>
      <c r="G58" s="33"/>
      <c r="H58" s="34">
        <f t="shared" si="0"/>
        <v>0</v>
      </c>
      <c r="I58" s="35"/>
      <c r="J58" s="35"/>
    </row>
    <row r="59" spans="1:10" ht="100.8" x14ac:dyDescent="0.2">
      <c r="A59" s="22">
        <v>46111</v>
      </c>
      <c r="B59" s="22" t="s">
        <v>17</v>
      </c>
      <c r="C59" s="27" t="s">
        <v>133</v>
      </c>
      <c r="D59" s="27"/>
      <c r="E59" s="27" t="s">
        <v>41</v>
      </c>
      <c r="F59" s="27" t="s">
        <v>15</v>
      </c>
      <c r="G59" s="28" t="s">
        <v>272</v>
      </c>
      <c r="H59" s="29">
        <f t="shared" si="0"/>
        <v>0.19791666666666669</v>
      </c>
      <c r="I59" s="30">
        <v>0.33333333333333331</v>
      </c>
      <c r="J59" s="30">
        <v>0.53125</v>
      </c>
    </row>
    <row r="60" spans="1:10" ht="63" x14ac:dyDescent="0.2">
      <c r="A60" s="22">
        <v>46111</v>
      </c>
      <c r="B60" s="22" t="s">
        <v>17</v>
      </c>
      <c r="C60" s="27" t="s">
        <v>133</v>
      </c>
      <c r="D60" s="27"/>
      <c r="E60" s="27" t="s">
        <v>41</v>
      </c>
      <c r="F60" s="27" t="s">
        <v>15</v>
      </c>
      <c r="G60" s="28" t="s">
        <v>271</v>
      </c>
      <c r="H60" s="29">
        <f t="shared" si="0"/>
        <v>0.18263888888888891</v>
      </c>
      <c r="I60" s="30">
        <v>0.57222222222222219</v>
      </c>
      <c r="J60" s="30">
        <v>0.75486111111111109</v>
      </c>
    </row>
    <row r="61" spans="1:10" ht="63" x14ac:dyDescent="0.2">
      <c r="A61" s="22">
        <v>46112</v>
      </c>
      <c r="B61" s="22" t="s">
        <v>18</v>
      </c>
      <c r="C61" s="27" t="s">
        <v>133</v>
      </c>
      <c r="D61" s="27"/>
      <c r="E61" s="27" t="s">
        <v>41</v>
      </c>
      <c r="F61" s="27" t="s">
        <v>15</v>
      </c>
      <c r="G61" s="28" t="s">
        <v>273</v>
      </c>
      <c r="H61" s="29">
        <f t="shared" si="0"/>
        <v>0.1965277777777778</v>
      </c>
      <c r="I61" s="30">
        <v>0.33333333333333331</v>
      </c>
      <c r="J61" s="30">
        <v>0.52986111111111112</v>
      </c>
    </row>
    <row r="62" spans="1:10" ht="50.4" x14ac:dyDescent="0.2">
      <c r="A62" s="22">
        <v>46112</v>
      </c>
      <c r="B62" s="22" t="s">
        <v>18</v>
      </c>
      <c r="C62" s="27" t="s">
        <v>133</v>
      </c>
      <c r="D62" s="27"/>
      <c r="E62" s="27" t="s">
        <v>41</v>
      </c>
      <c r="F62" s="27" t="s">
        <v>15</v>
      </c>
      <c r="G62" s="28" t="s">
        <v>274</v>
      </c>
      <c r="H62" s="29">
        <f t="shared" ref="H62" si="1">J62-I62</f>
        <v>0.15208333333333335</v>
      </c>
      <c r="I62" s="30">
        <v>0.57013888888888886</v>
      </c>
      <c r="J62" s="30">
        <v>0.72222222222222221</v>
      </c>
    </row>
    <row r="63" spans="1:10" ht="13.95" customHeight="1" thickBot="1" x14ac:dyDescent="0.3">
      <c r="A63" s="46"/>
      <c r="B63" s="46"/>
      <c r="C63" s="45"/>
      <c r="D63" s="45"/>
      <c r="E63" s="45"/>
      <c r="F63" s="45"/>
      <c r="G63" s="45"/>
      <c r="H63" s="36"/>
      <c r="I63" s="37"/>
    </row>
    <row r="64" spans="1:10" ht="13.95" customHeight="1" x14ac:dyDescent="0.25">
      <c r="A64" s="4"/>
      <c r="B64" s="4"/>
      <c r="C64" s="5"/>
      <c r="D64" s="6"/>
      <c r="E64" s="7" t="s">
        <v>21</v>
      </c>
      <c r="F64" s="8">
        <f>F65*8</f>
        <v>176</v>
      </c>
      <c r="H64" s="40"/>
    </row>
    <row r="65" spans="1:8" ht="13.95" customHeight="1" thickBot="1" x14ac:dyDescent="0.3">
      <c r="A65" s="4"/>
      <c r="B65" s="4"/>
      <c r="C65" s="9"/>
      <c r="D65" s="2"/>
      <c r="E65" s="10" t="s">
        <v>22</v>
      </c>
      <c r="F65" s="11">
        <v>22</v>
      </c>
      <c r="H65" s="40"/>
    </row>
    <row r="66" spans="1:8" ht="14.4" thickBot="1" x14ac:dyDescent="0.3">
      <c r="A66" s="117" t="s">
        <v>23</v>
      </c>
      <c r="B66" s="117"/>
      <c r="C66" s="117"/>
      <c r="D66" s="12"/>
      <c r="E66" s="2"/>
      <c r="F66" s="2"/>
      <c r="H66" s="40"/>
    </row>
    <row r="67" spans="1:8" ht="15" customHeight="1" x14ac:dyDescent="0.25">
      <c r="A67" s="13"/>
      <c r="B67" s="13"/>
      <c r="C67" s="6"/>
      <c r="D67" s="6"/>
      <c r="E67" s="14" t="s">
        <v>24</v>
      </c>
      <c r="F67" s="15">
        <f>SUMIF(F9:F62,"Billable",H9:H62)</f>
        <v>0</v>
      </c>
      <c r="H67" s="38"/>
    </row>
    <row r="68" spans="1:8" ht="14.4" thickBot="1" x14ac:dyDescent="0.3">
      <c r="A68" s="118" t="s">
        <v>25</v>
      </c>
      <c r="B68" s="118"/>
      <c r="C68" s="118"/>
      <c r="D68" s="16"/>
      <c r="E68" s="17" t="s">
        <v>26</v>
      </c>
      <c r="F68" s="18">
        <f>SUMIF(F9:F62,"Non-Billable",H9:H62)</f>
        <v>7.9777777777777787</v>
      </c>
      <c r="H68" s="40"/>
    </row>
    <row r="69" spans="1:8" ht="14.4" thickBot="1" x14ac:dyDescent="0.3">
      <c r="A69" s="2"/>
      <c r="B69" s="2"/>
      <c r="C69" s="2"/>
      <c r="D69" s="2"/>
      <c r="E69" s="19" t="s">
        <v>27</v>
      </c>
      <c r="F69" s="44">
        <f>F67+F68</f>
        <v>7.9777777777777787</v>
      </c>
      <c r="H69" s="40"/>
    </row>
    <row r="70" spans="1:8" ht="13.8" thickBot="1" x14ac:dyDescent="0.3">
      <c r="A70" s="2"/>
      <c r="B70" s="2"/>
      <c r="C70" s="2"/>
      <c r="D70" s="2"/>
      <c r="E70" s="2"/>
      <c r="F70" s="2"/>
      <c r="H70" s="40"/>
    </row>
    <row r="71" spans="1:8" ht="13.8" thickBot="1" x14ac:dyDescent="0.3">
      <c r="A71" s="2"/>
      <c r="B71" s="2"/>
      <c r="C71" s="2"/>
      <c r="D71" s="2"/>
      <c r="E71" s="20" t="s">
        <v>28</v>
      </c>
      <c r="F71" s="21"/>
      <c r="H71" s="40"/>
    </row>
    <row r="72" spans="1:8" ht="13.2" thickBot="1" x14ac:dyDescent="0.25">
      <c r="E72" s="39"/>
      <c r="H72" s="40"/>
    </row>
  </sheetData>
  <mergeCells count="2">
    <mergeCell ref="A66:C66"/>
    <mergeCell ref="A68:C68"/>
  </mergeCells>
  <phoneticPr fontId="10" type="noConversion"/>
  <conditionalFormatting sqref="A6:B6 D6:E7 D63:E64">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72">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66:E68 E71">
    <cfRule type="containsText" dxfId="6" priority="1" operator="containsText" text="Religious Leave">
      <formula>NOT(ISERROR(SEARCH("Religious Leave",D66)))</formula>
    </cfRule>
    <cfRule type="containsText" dxfId="5" priority="2" operator="containsText" text="Birthday Leave">
      <formula>NOT(ISERROR(SEARCH("Birthday Leave",D66)))</formula>
    </cfRule>
    <cfRule type="containsText" dxfId="4" priority="3" operator="containsText" text="Study Leave">
      <formula>NOT(ISERROR(SEARCH("Study Leave",D66)))</formula>
    </cfRule>
    <cfRule type="containsText" dxfId="3" priority="4" operator="containsText" text="Family Responsibility Leave">
      <formula>NOT(ISERROR(SEARCH("Family Responsibility Leave",D66)))</formula>
    </cfRule>
    <cfRule type="containsText" dxfId="2" priority="5" operator="containsText" text="Sick Leave">
      <formula>NOT(ISERROR(SEARCH("Sick Leave",D66)))</formula>
    </cfRule>
    <cfRule type="containsText" dxfId="1" priority="6" operator="containsText" text="Annual Leave">
      <formula>NOT(ISERROR(SEARCH("Annual Leave",D66)))</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62" xr:uid="{1C94E27B-8E5C-4C1F-AD20-3494675EE945}">
      <formula1>0</formula1>
      <formula2>0.999988425925926</formula2>
    </dataValidation>
  </dataValidations>
  <pageMargins left="0.7" right="0.7" top="0.75" bottom="0.75" header="0.3" footer="0.3"/>
  <pageSetup paperSize="9" scale="75" orientation="portrait" horizontalDpi="4294967293" verticalDpi="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693F761-715B-45CE-AC76-906C43DF08FA}">
          <x14:formula1>
            <xm:f>Key!$H$3:$H$83</xm:f>
          </x14:formula1>
          <xm:sqref>B5</xm:sqref>
        </x14:dataValidation>
        <x14:dataValidation type="list" allowBlank="1" showInputMessage="1" showErrorMessage="1" xr:uid="{21903AE5-45BA-428F-AFA8-22E9A01182F3}">
          <x14:formula1>
            <xm:f>Key!$B$2:$B$51</xm:f>
          </x14:formula1>
          <xm:sqref>C9:C62</xm:sqref>
        </x14:dataValidation>
        <x14:dataValidation type="list" allowBlank="1" showInputMessage="1" showErrorMessage="1" xr:uid="{C39A6A8E-1249-4B2F-AB25-70B85A400C15}">
          <x14:formula1>
            <xm:f>Key!$J$3:$J$4</xm:f>
          </x14:formula1>
          <xm:sqref>F9:F62</xm:sqref>
        </x14:dataValidation>
        <x14:dataValidation type="list" allowBlank="1" showInputMessage="1" showErrorMessage="1" xr:uid="{B11ED7AE-D90D-41B0-B483-088E73216738}">
          <x14:formula1>
            <xm:f>Key!$F$3:$F$52</xm:f>
          </x14:formula1>
          <xm:sqref>E9:E62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B12" sqref="B12:C12"/>
    </sheetView>
  </sheetViews>
  <sheetFormatPr defaultColWidth="8.69921875" defaultRowHeight="12.6" x14ac:dyDescent="0.2"/>
  <cols>
    <col min="1" max="1" width="12" style="23" customWidth="1"/>
    <col min="2" max="2" width="13.09765625" style="23" customWidth="1"/>
    <col min="3" max="3" width="16.19921875" style="23" bestFit="1" customWidth="1"/>
    <col min="4" max="4" width="8.69921875" style="23"/>
    <col min="5" max="5" width="13.296875" style="23" customWidth="1"/>
    <col min="6" max="6" width="14.5" style="23" customWidth="1"/>
    <col min="7" max="16384" width="8.69921875" style="23"/>
  </cols>
  <sheetData>
    <row r="1" spans="1:15" ht="13.5" customHeight="1" x14ac:dyDescent="0.2">
      <c r="A1" s="81"/>
      <c r="B1" s="81"/>
      <c r="C1" s="81"/>
      <c r="D1" s="81"/>
      <c r="E1" s="81"/>
      <c r="F1" s="81"/>
    </row>
    <row r="2" spans="1:15" x14ac:dyDescent="0.2">
      <c r="A2" s="80"/>
      <c r="B2" s="80"/>
      <c r="C2" s="85"/>
      <c r="D2" s="85"/>
      <c r="E2" s="85"/>
      <c r="F2" s="85"/>
    </row>
    <row r="3" spans="1:15" x14ac:dyDescent="0.2">
      <c r="A3" s="80"/>
      <c r="B3" s="80"/>
      <c r="C3" s="86"/>
      <c r="D3" s="86"/>
      <c r="E3" s="86"/>
      <c r="F3" s="86"/>
    </row>
    <row r="4" spans="1:15" x14ac:dyDescent="0.2">
      <c r="A4" s="80"/>
      <c r="B4" s="80"/>
      <c r="C4" s="87"/>
      <c r="D4" s="87"/>
      <c r="E4" s="87"/>
      <c r="F4" s="87"/>
    </row>
    <row r="5" spans="1:15" x14ac:dyDescent="0.2">
      <c r="A5" s="37" t="s">
        <v>2</v>
      </c>
      <c r="B5" s="23" t="s">
        <v>108</v>
      </c>
      <c r="C5" s="87"/>
      <c r="D5" s="87"/>
      <c r="E5" s="87"/>
      <c r="F5" s="87"/>
    </row>
    <row r="6" spans="1:15" x14ac:dyDescent="0.2">
      <c r="A6" s="80" t="s">
        <v>183</v>
      </c>
      <c r="B6" s="82">
        <f>F17</f>
        <v>200</v>
      </c>
      <c r="C6" s="85"/>
      <c r="D6" s="86"/>
      <c r="E6" s="86"/>
      <c r="F6" s="86"/>
    </row>
    <row r="7" spans="1:15" ht="13.5" customHeight="1" x14ac:dyDescent="0.2">
      <c r="A7" s="74"/>
      <c r="B7" s="75"/>
      <c r="C7" s="75"/>
      <c r="D7" s="86"/>
      <c r="E7" s="86"/>
      <c r="F7" s="86"/>
    </row>
    <row r="8" spans="1:15" ht="27.45" customHeight="1" x14ac:dyDescent="0.2">
      <c r="A8" s="124" t="s">
        <v>184</v>
      </c>
      <c r="B8" s="124"/>
      <c r="C8" s="124"/>
      <c r="D8" s="124"/>
      <c r="E8" s="124"/>
      <c r="F8" s="124"/>
    </row>
    <row r="9" spans="1:15" ht="13.5" customHeight="1" thickBot="1" x14ac:dyDescent="0.25">
      <c r="A9" s="83" t="s">
        <v>188</v>
      </c>
      <c r="B9" s="121" t="s">
        <v>185</v>
      </c>
      <c r="C9" s="122"/>
      <c r="D9" s="121" t="s">
        <v>94</v>
      </c>
      <c r="E9" s="122"/>
      <c r="F9" s="84" t="s">
        <v>95</v>
      </c>
    </row>
    <row r="10" spans="1:15" x14ac:dyDescent="0.2">
      <c r="A10" s="79"/>
      <c r="B10" s="123" t="s">
        <v>186</v>
      </c>
      <c r="C10" s="123"/>
      <c r="D10" s="123" t="s">
        <v>131</v>
      </c>
      <c r="E10" s="123"/>
      <c r="F10" s="78">
        <v>200</v>
      </c>
      <c r="G10" s="119" t="s">
        <v>187</v>
      </c>
      <c r="H10" s="120"/>
      <c r="I10" s="120"/>
      <c r="J10" s="120"/>
      <c r="K10" s="120"/>
      <c r="L10" s="120"/>
      <c r="M10" s="120"/>
      <c r="N10" s="120"/>
      <c r="O10" s="120"/>
    </row>
    <row r="11" spans="1:15" x14ac:dyDescent="0.2">
      <c r="A11" s="79"/>
      <c r="B11" s="125" t="s">
        <v>189</v>
      </c>
      <c r="C11" s="126"/>
      <c r="D11" s="123" t="s">
        <v>137</v>
      </c>
      <c r="E11" s="123"/>
      <c r="F11" s="78"/>
    </row>
    <row r="12" spans="1:15" x14ac:dyDescent="0.2">
      <c r="A12" s="79"/>
      <c r="B12" s="125" t="s">
        <v>190</v>
      </c>
      <c r="C12" s="126"/>
      <c r="D12" s="123"/>
      <c r="E12" s="123"/>
      <c r="F12" s="78"/>
    </row>
    <row r="13" spans="1:15" x14ac:dyDescent="0.2">
      <c r="A13" s="79"/>
      <c r="B13" s="125"/>
      <c r="C13" s="126"/>
      <c r="D13" s="123"/>
      <c r="E13" s="123"/>
      <c r="F13" s="78"/>
    </row>
    <row r="14" spans="1:15" x14ac:dyDescent="0.2">
      <c r="A14" s="79"/>
      <c r="B14" s="125"/>
      <c r="C14" s="126"/>
      <c r="D14" s="123"/>
      <c r="E14" s="123"/>
      <c r="F14" s="78"/>
    </row>
    <row r="15" spans="1:15" x14ac:dyDescent="0.2">
      <c r="A15" s="79"/>
      <c r="B15" s="130"/>
      <c r="C15" s="131"/>
      <c r="D15" s="123"/>
      <c r="E15" s="123"/>
      <c r="F15" s="78"/>
    </row>
    <row r="16" spans="1:15" ht="13.2" thickBot="1" x14ac:dyDescent="0.25">
      <c r="A16" s="79"/>
      <c r="B16" s="125"/>
      <c r="C16" s="126"/>
      <c r="D16" s="123"/>
      <c r="E16" s="123"/>
      <c r="F16" s="78"/>
    </row>
    <row r="17" spans="1:6" ht="13.5" customHeight="1" thickBot="1" x14ac:dyDescent="0.25">
      <c r="A17" s="127" t="s">
        <v>96</v>
      </c>
      <c r="B17" s="128"/>
      <c r="C17" s="128"/>
      <c r="D17" s="128"/>
      <c r="E17" s="129"/>
      <c r="F17" s="77">
        <f>SUM(F10:F16)</f>
        <v>200</v>
      </c>
    </row>
    <row r="18" spans="1:6" x14ac:dyDescent="0.2">
      <c r="A18" s="74"/>
      <c r="B18" s="75"/>
      <c r="C18" s="75"/>
      <c r="D18" s="75"/>
      <c r="E18" s="76"/>
      <c r="F18" s="76"/>
    </row>
  </sheetData>
  <mergeCells count="19">
    <mergeCell ref="B13:C13"/>
    <mergeCell ref="D13:E13"/>
    <mergeCell ref="A17:E17"/>
    <mergeCell ref="B14:C14"/>
    <mergeCell ref="D14:E14"/>
    <mergeCell ref="B15:C15"/>
    <mergeCell ref="D15:E15"/>
    <mergeCell ref="B16:C16"/>
    <mergeCell ref="D16:E16"/>
    <mergeCell ref="A8:F8"/>
    <mergeCell ref="B11:C11"/>
    <mergeCell ref="D11:E11"/>
    <mergeCell ref="B12:C12"/>
    <mergeCell ref="D12:E12"/>
    <mergeCell ref="G10:O10"/>
    <mergeCell ref="B9:C9"/>
    <mergeCell ref="D9:E9"/>
    <mergeCell ref="B10:C10"/>
    <mergeCell ref="D10:E10"/>
  </mergeCells>
  <dataValidations count="1">
    <dataValidation type="list" allowBlank="1" showInputMessage="1" showErrorMessage="1" sqref="D7 D18" xr:uid="{517DF1E8-3052-48CF-9AE1-C19E6ECB6686}">
      <formula1>$H$2:$H$4</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Key!$H$3:$H$84</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C11" sqref="C11"/>
    </sheetView>
  </sheetViews>
  <sheetFormatPr defaultColWidth="8.69921875" defaultRowHeight="12.6" x14ac:dyDescent="0.2"/>
  <cols>
    <col min="1" max="1" width="15.5" style="23" bestFit="1" customWidth="1"/>
    <col min="2" max="2" width="11.796875" style="23" customWidth="1"/>
    <col min="3" max="3" width="9.796875" style="23" customWidth="1"/>
    <col min="4" max="16384" width="8.69921875" style="23"/>
  </cols>
  <sheetData>
    <row r="4" spans="1:6" x14ac:dyDescent="0.2">
      <c r="A4" s="132"/>
      <c r="B4" s="132"/>
    </row>
    <row r="5" spans="1:6" x14ac:dyDescent="0.2">
      <c r="A5" s="37" t="s">
        <v>2</v>
      </c>
      <c r="B5" s="23" t="s">
        <v>108</v>
      </c>
    </row>
    <row r="6" spans="1:6" x14ac:dyDescent="0.2">
      <c r="A6" s="80" t="s">
        <v>192</v>
      </c>
      <c r="B6" s="80"/>
    </row>
    <row r="7" spans="1:6" x14ac:dyDescent="0.2">
      <c r="A7" s="96" t="s">
        <v>193</v>
      </c>
      <c r="B7" s="96"/>
    </row>
    <row r="8" spans="1:6" x14ac:dyDescent="0.2">
      <c r="A8" s="97"/>
      <c r="B8" s="86"/>
    </row>
    <row r="9" spans="1:6" ht="27.45" customHeight="1" x14ac:dyDescent="0.2">
      <c r="A9" s="145" t="s">
        <v>191</v>
      </c>
      <c r="B9" s="145"/>
      <c r="C9" s="145"/>
      <c r="D9" s="145"/>
      <c r="E9" s="145"/>
      <c r="F9" s="145"/>
    </row>
    <row r="10" spans="1:6" ht="25.2" x14ac:dyDescent="0.2">
      <c r="A10" s="88" t="s">
        <v>97</v>
      </c>
      <c r="B10" s="88" t="s">
        <v>98</v>
      </c>
      <c r="C10" s="88" t="s">
        <v>99</v>
      </c>
      <c r="D10" s="88" t="s">
        <v>100</v>
      </c>
      <c r="E10" s="88" t="s">
        <v>101</v>
      </c>
      <c r="F10" s="88" t="s">
        <v>102</v>
      </c>
    </row>
    <row r="11" spans="1:6" x14ac:dyDescent="0.2">
      <c r="A11" s="88"/>
      <c r="B11" s="88"/>
      <c r="C11" s="88"/>
      <c r="D11" s="88"/>
      <c r="E11" s="88"/>
      <c r="F11" s="88"/>
    </row>
    <row r="12" spans="1:6" x14ac:dyDescent="0.2">
      <c r="A12" s="88"/>
      <c r="B12" s="88"/>
      <c r="C12" s="88"/>
      <c r="D12" s="88"/>
      <c r="E12" s="88"/>
      <c r="F12" s="88"/>
    </row>
    <row r="13" spans="1:6" ht="13.2" thickBot="1" x14ac:dyDescent="0.25">
      <c r="A13" s="88"/>
      <c r="B13" s="88"/>
      <c r="C13" s="88"/>
      <c r="D13" s="88"/>
      <c r="E13" s="88"/>
      <c r="F13" s="88"/>
    </row>
    <row r="14" spans="1:6" ht="13.2" thickBot="1" x14ac:dyDescent="0.25">
      <c r="A14" s="89"/>
      <c r="B14" s="90"/>
      <c r="C14" s="90"/>
      <c r="D14" s="91">
        <f>SUM(D11:D13)</f>
        <v>0</v>
      </c>
      <c r="E14" s="90"/>
      <c r="F14" s="92"/>
    </row>
    <row r="15" spans="1:6" ht="13.2" thickBot="1" x14ac:dyDescent="0.25">
      <c r="A15" s="136"/>
      <c r="B15" s="137"/>
      <c r="C15" s="137"/>
      <c r="D15" s="137"/>
      <c r="E15" s="137"/>
      <c r="F15" s="137"/>
    </row>
    <row r="16" spans="1:6" x14ac:dyDescent="0.2">
      <c r="A16" s="146" t="s">
        <v>103</v>
      </c>
      <c r="B16" s="147"/>
      <c r="C16" s="147"/>
      <c r="D16" s="147"/>
      <c r="E16" s="147"/>
      <c r="F16" s="148"/>
    </row>
    <row r="17" spans="1:6" x14ac:dyDescent="0.2">
      <c r="A17" s="133"/>
      <c r="B17" s="134"/>
      <c r="C17" s="134"/>
      <c r="D17" s="134"/>
      <c r="E17" s="134"/>
      <c r="F17" s="135"/>
    </row>
    <row r="18" spans="1:6" x14ac:dyDescent="0.2">
      <c r="A18" s="133"/>
      <c r="B18" s="134"/>
      <c r="C18" s="134"/>
      <c r="D18" s="134"/>
      <c r="E18" s="134"/>
      <c r="F18" s="135"/>
    </row>
    <row r="19" spans="1:6" ht="13.2" thickBot="1" x14ac:dyDescent="0.25">
      <c r="A19" s="136"/>
      <c r="B19" s="137"/>
      <c r="C19" s="137"/>
      <c r="D19" s="137"/>
      <c r="E19" s="137"/>
      <c r="F19" s="138"/>
    </row>
    <row r="20" spans="1:6" ht="13.2" thickBot="1" x14ac:dyDescent="0.25"/>
    <row r="21" spans="1:6" x14ac:dyDescent="0.2">
      <c r="A21" s="93" t="s">
        <v>0</v>
      </c>
      <c r="B21" s="139"/>
      <c r="C21" s="139"/>
      <c r="D21" s="139"/>
      <c r="E21" s="139"/>
      <c r="F21" s="140"/>
    </row>
    <row r="22" spans="1:6" x14ac:dyDescent="0.2">
      <c r="A22" s="94" t="s">
        <v>104</v>
      </c>
      <c r="B22" s="141"/>
      <c r="C22" s="141"/>
      <c r="D22" s="141"/>
      <c r="E22" s="141"/>
      <c r="F22" s="142"/>
    </row>
    <row r="23" spans="1:6" ht="13.2" thickBot="1" x14ac:dyDescent="0.25">
      <c r="A23" s="95" t="s">
        <v>105</v>
      </c>
      <c r="B23" s="143"/>
      <c r="C23" s="143"/>
      <c r="D23" s="143"/>
      <c r="E23" s="143"/>
      <c r="F23" s="144"/>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A12:A14 A11</xm:sqref>
        </x14:dataValidation>
        <x14:dataValidation type="list" allowBlank="1" showInputMessage="1" showErrorMessage="1" xr:uid="{39EE865D-1893-4D91-9C9E-FAFF9DC830A7}">
          <x14:formula1>
            <xm:f>Key!$H$3:$H$80</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J78"/>
  <sheetViews>
    <sheetView workbookViewId="0">
      <selection activeCell="H79" sqref="H79"/>
    </sheetView>
  </sheetViews>
  <sheetFormatPr defaultColWidth="8.69921875" defaultRowHeight="14.4" x14ac:dyDescent="0.3"/>
  <cols>
    <col min="1" max="1" width="8.69921875" style="52"/>
    <col min="2" max="2" width="25.5" style="52" customWidth="1"/>
    <col min="3" max="3" width="8.69921875" style="52"/>
    <col min="4" max="4" width="19.296875" style="52" customWidth="1"/>
    <col min="5" max="5" width="8.69921875" style="52"/>
    <col min="6" max="6" width="21.796875" style="52" customWidth="1"/>
    <col min="7" max="16384" width="8.69921875" style="52"/>
  </cols>
  <sheetData>
    <row r="2" spans="2:10" ht="15" thickBot="1" x14ac:dyDescent="0.35">
      <c r="B2" s="66" t="s">
        <v>133</v>
      </c>
      <c r="D2" s="53" t="s">
        <v>120</v>
      </c>
      <c r="F2" s="52" t="s">
        <v>5</v>
      </c>
      <c r="H2" s="52" t="s">
        <v>29</v>
      </c>
      <c r="J2" s="53" t="s">
        <v>13</v>
      </c>
    </row>
    <row r="3" spans="2:10" x14ac:dyDescent="0.3">
      <c r="B3" s="66" t="s">
        <v>121</v>
      </c>
      <c r="D3" s="72" t="s">
        <v>30</v>
      </c>
      <c r="F3" s="55" t="s">
        <v>31</v>
      </c>
      <c r="H3" s="98" t="s">
        <v>72</v>
      </c>
      <c r="J3" s="56" t="s">
        <v>15</v>
      </c>
    </row>
    <row r="4" spans="2:10" x14ac:dyDescent="0.3">
      <c r="B4" s="66" t="s">
        <v>134</v>
      </c>
      <c r="D4" s="54" t="s">
        <v>32</v>
      </c>
      <c r="F4" s="57" t="s">
        <v>33</v>
      </c>
      <c r="H4" s="68" t="s">
        <v>117</v>
      </c>
      <c r="J4" s="58" t="s">
        <v>13</v>
      </c>
    </row>
    <row r="5" spans="2:10" x14ac:dyDescent="0.3">
      <c r="B5" s="66" t="s">
        <v>135</v>
      </c>
      <c r="D5" s="72" t="s">
        <v>35</v>
      </c>
      <c r="F5" s="59" t="s">
        <v>36</v>
      </c>
      <c r="H5" s="99" t="s">
        <v>195</v>
      </c>
    </row>
    <row r="6" spans="2:10" x14ac:dyDescent="0.3">
      <c r="B6" s="66" t="s">
        <v>136</v>
      </c>
      <c r="D6" s="54" t="s">
        <v>38</v>
      </c>
      <c r="F6" s="57" t="s">
        <v>39</v>
      </c>
      <c r="H6" s="100" t="s">
        <v>83</v>
      </c>
    </row>
    <row r="7" spans="2:10" x14ac:dyDescent="0.3">
      <c r="B7" s="66" t="s">
        <v>122</v>
      </c>
      <c r="D7" s="72" t="s">
        <v>40</v>
      </c>
      <c r="F7" s="59" t="s">
        <v>41</v>
      </c>
      <c r="H7" s="68" t="s">
        <v>78</v>
      </c>
    </row>
    <row r="8" spans="2:10" x14ac:dyDescent="0.3">
      <c r="B8" s="66" t="s">
        <v>138</v>
      </c>
      <c r="D8" s="54" t="s">
        <v>43</v>
      </c>
      <c r="F8" s="57" t="s">
        <v>44</v>
      </c>
      <c r="H8" s="98" t="s">
        <v>47</v>
      </c>
      <c r="J8" s="52" t="s">
        <v>132</v>
      </c>
    </row>
    <row r="9" spans="2:10" x14ac:dyDescent="0.3">
      <c r="B9" s="66" t="s">
        <v>139</v>
      </c>
      <c r="D9" s="72" t="s">
        <v>45</v>
      </c>
      <c r="F9" s="59" t="s">
        <v>46</v>
      </c>
      <c r="H9" s="67" t="s">
        <v>12</v>
      </c>
      <c r="J9" s="52" t="s">
        <v>131</v>
      </c>
    </row>
    <row r="10" spans="2:10" x14ac:dyDescent="0.3">
      <c r="B10" s="66" t="s">
        <v>141</v>
      </c>
      <c r="D10" s="54" t="s">
        <v>48</v>
      </c>
      <c r="F10" s="57" t="s">
        <v>49</v>
      </c>
      <c r="H10" s="101" t="s">
        <v>140</v>
      </c>
    </row>
    <row r="11" spans="2:10" x14ac:dyDescent="0.3">
      <c r="B11" s="66" t="s">
        <v>143</v>
      </c>
      <c r="D11" s="72" t="s">
        <v>50</v>
      </c>
      <c r="F11" s="59" t="s">
        <v>51</v>
      </c>
      <c r="H11" s="68" t="s">
        <v>142</v>
      </c>
      <c r="J11" s="52" t="s">
        <v>126</v>
      </c>
    </row>
    <row r="12" spans="2:10" x14ac:dyDescent="0.3">
      <c r="B12" s="66" t="s">
        <v>144</v>
      </c>
      <c r="F12" s="57" t="s">
        <v>52</v>
      </c>
      <c r="H12" s="102" t="s">
        <v>196</v>
      </c>
      <c r="J12" s="52" t="s">
        <v>127</v>
      </c>
    </row>
    <row r="13" spans="2:10" x14ac:dyDescent="0.3">
      <c r="B13" s="66" t="s">
        <v>146</v>
      </c>
      <c r="F13" s="59" t="s">
        <v>53</v>
      </c>
      <c r="H13" s="102" t="s">
        <v>34</v>
      </c>
    </row>
    <row r="14" spans="2:10" x14ac:dyDescent="0.3">
      <c r="B14" s="66" t="s">
        <v>148</v>
      </c>
      <c r="D14" s="60"/>
      <c r="F14" s="57" t="s">
        <v>54</v>
      </c>
      <c r="H14" s="103" t="s">
        <v>145</v>
      </c>
    </row>
    <row r="15" spans="2:10" x14ac:dyDescent="0.3">
      <c r="B15" s="66" t="s">
        <v>123</v>
      </c>
      <c r="D15" s="61"/>
      <c r="F15" s="59" t="s">
        <v>56</v>
      </c>
      <c r="H15" s="102" t="s">
        <v>147</v>
      </c>
    </row>
    <row r="16" spans="2:10" x14ac:dyDescent="0.3">
      <c r="B16" s="66" t="s">
        <v>57</v>
      </c>
      <c r="D16" s="61"/>
      <c r="F16" s="57" t="s">
        <v>58</v>
      </c>
      <c r="H16" s="104" t="s">
        <v>149</v>
      </c>
    </row>
    <row r="17" spans="2:8" ht="27.6" x14ac:dyDescent="0.3">
      <c r="B17" s="66" t="s">
        <v>151</v>
      </c>
      <c r="D17" s="61"/>
      <c r="F17" s="59" t="s">
        <v>59</v>
      </c>
      <c r="H17" s="102" t="s">
        <v>150</v>
      </c>
    </row>
    <row r="18" spans="2:8" x14ac:dyDescent="0.3">
      <c r="B18" s="66" t="s">
        <v>153</v>
      </c>
      <c r="D18" s="61"/>
      <c r="F18" s="57" t="s">
        <v>60</v>
      </c>
      <c r="H18" s="104" t="s">
        <v>61</v>
      </c>
    </row>
    <row r="19" spans="2:8" x14ac:dyDescent="0.3">
      <c r="B19" s="66" t="s">
        <v>155</v>
      </c>
      <c r="D19" s="61"/>
      <c r="F19" s="59" t="s">
        <v>62</v>
      </c>
      <c r="H19" s="105" t="s">
        <v>152</v>
      </c>
    </row>
    <row r="20" spans="2:8" x14ac:dyDescent="0.3">
      <c r="B20" s="66" t="s">
        <v>156</v>
      </c>
      <c r="D20" s="61"/>
      <c r="F20" s="57" t="s">
        <v>63</v>
      </c>
      <c r="H20" s="103" t="s">
        <v>154</v>
      </c>
    </row>
    <row r="21" spans="2:8" x14ac:dyDescent="0.3">
      <c r="B21" s="66" t="s">
        <v>124</v>
      </c>
      <c r="D21" s="61"/>
      <c r="F21" s="59" t="s">
        <v>64</v>
      </c>
      <c r="H21" s="68" t="s">
        <v>113</v>
      </c>
    </row>
    <row r="22" spans="2:8" x14ac:dyDescent="0.3">
      <c r="B22" s="66" t="s">
        <v>157</v>
      </c>
      <c r="D22" s="61"/>
      <c r="F22" s="57" t="s">
        <v>66</v>
      </c>
      <c r="H22" s="106" t="s">
        <v>197</v>
      </c>
    </row>
    <row r="23" spans="2:8" x14ac:dyDescent="0.3">
      <c r="B23" s="66" t="s">
        <v>158</v>
      </c>
      <c r="D23" s="61"/>
      <c r="F23" s="59" t="s">
        <v>68</v>
      </c>
      <c r="H23" s="107" t="s">
        <v>75</v>
      </c>
    </row>
    <row r="24" spans="2:8" x14ac:dyDescent="0.3">
      <c r="B24" s="66" t="s">
        <v>159</v>
      </c>
      <c r="D24" s="61"/>
      <c r="F24" s="57" t="s">
        <v>69</v>
      </c>
      <c r="H24" s="108" t="s">
        <v>198</v>
      </c>
    </row>
    <row r="25" spans="2:8" x14ac:dyDescent="0.3">
      <c r="B25" s="66" t="s">
        <v>160</v>
      </c>
      <c r="D25" s="61"/>
      <c r="F25" s="59" t="s">
        <v>70</v>
      </c>
      <c r="H25" s="109" t="s">
        <v>108</v>
      </c>
    </row>
    <row r="26" spans="2:8" x14ac:dyDescent="0.3">
      <c r="B26" s="66" t="s">
        <v>162</v>
      </c>
      <c r="F26" s="57" t="s">
        <v>71</v>
      </c>
      <c r="H26" s="70" t="s">
        <v>125</v>
      </c>
    </row>
    <row r="27" spans="2:8" x14ac:dyDescent="0.3">
      <c r="B27" s="66" t="s">
        <v>222</v>
      </c>
      <c r="D27" s="61"/>
      <c r="F27" s="59" t="s">
        <v>73</v>
      </c>
      <c r="H27" s="107" t="s">
        <v>114</v>
      </c>
    </row>
    <row r="28" spans="2:8" x14ac:dyDescent="0.3">
      <c r="B28" s="66" t="s">
        <v>163</v>
      </c>
      <c r="D28" s="61"/>
      <c r="F28" s="57" t="s">
        <v>74</v>
      </c>
      <c r="H28" s="70" t="s">
        <v>118</v>
      </c>
    </row>
    <row r="29" spans="2:8" x14ac:dyDescent="0.3">
      <c r="B29" s="66" t="s">
        <v>164</v>
      </c>
      <c r="F29" s="59" t="s">
        <v>76</v>
      </c>
      <c r="H29" s="110" t="s">
        <v>199</v>
      </c>
    </row>
    <row r="30" spans="2:8" x14ac:dyDescent="0.3">
      <c r="B30" s="66" t="s">
        <v>79</v>
      </c>
      <c r="F30" s="57" t="s">
        <v>77</v>
      </c>
      <c r="H30" s="108" t="s">
        <v>200</v>
      </c>
    </row>
    <row r="31" spans="2:8" x14ac:dyDescent="0.3">
      <c r="B31" s="66" t="s">
        <v>166</v>
      </c>
      <c r="F31" s="59" t="s">
        <v>80</v>
      </c>
      <c r="H31" s="111" t="s">
        <v>228</v>
      </c>
    </row>
    <row r="32" spans="2:8" x14ac:dyDescent="0.3">
      <c r="B32" s="66" t="s">
        <v>84</v>
      </c>
      <c r="F32" s="57" t="s">
        <v>81</v>
      </c>
      <c r="H32" s="109" t="s">
        <v>42</v>
      </c>
    </row>
    <row r="33" spans="2:8" x14ac:dyDescent="0.3">
      <c r="B33" s="66" t="s">
        <v>167</v>
      </c>
      <c r="F33" s="59" t="s">
        <v>82</v>
      </c>
      <c r="H33" s="69" t="s">
        <v>161</v>
      </c>
    </row>
    <row r="34" spans="2:8" x14ac:dyDescent="0.3">
      <c r="B34" s="66" t="s">
        <v>169</v>
      </c>
      <c r="F34" s="57" t="s">
        <v>85</v>
      </c>
      <c r="H34" s="69" t="s">
        <v>201</v>
      </c>
    </row>
    <row r="35" spans="2:8" x14ac:dyDescent="0.3">
      <c r="B35" s="66" t="s">
        <v>170</v>
      </c>
      <c r="F35" s="59" t="s">
        <v>86</v>
      </c>
      <c r="H35" s="110" t="s">
        <v>202</v>
      </c>
    </row>
    <row r="36" spans="2:8" x14ac:dyDescent="0.3">
      <c r="B36" s="66" t="s">
        <v>172</v>
      </c>
      <c r="F36" s="57" t="s">
        <v>88</v>
      </c>
      <c r="H36" s="101" t="s">
        <v>203</v>
      </c>
    </row>
    <row r="37" spans="2:8" x14ac:dyDescent="0.3">
      <c r="B37" s="66" t="s">
        <v>173</v>
      </c>
      <c r="F37" s="57" t="s">
        <v>89</v>
      </c>
      <c r="H37" s="69" t="s">
        <v>65</v>
      </c>
    </row>
    <row r="38" spans="2:8" x14ac:dyDescent="0.3">
      <c r="B38" s="66" t="s">
        <v>91</v>
      </c>
      <c r="F38" s="57" t="s">
        <v>90</v>
      </c>
      <c r="H38" s="108" t="s">
        <v>204</v>
      </c>
    </row>
    <row r="39" spans="2:8" x14ac:dyDescent="0.3">
      <c r="B39" s="52" t="s">
        <v>223</v>
      </c>
      <c r="F39" s="57" t="s">
        <v>225</v>
      </c>
      <c r="H39" s="110" t="s">
        <v>205</v>
      </c>
    </row>
    <row r="40" spans="2:8" x14ac:dyDescent="0.3">
      <c r="B40" s="66" t="s">
        <v>115</v>
      </c>
      <c r="F40" s="115" t="s">
        <v>224</v>
      </c>
      <c r="H40" s="111" t="s">
        <v>165</v>
      </c>
    </row>
    <row r="41" spans="2:8" x14ac:dyDescent="0.3">
      <c r="B41" s="66" t="s">
        <v>175</v>
      </c>
      <c r="D41" s="63"/>
      <c r="H41" s="70" t="s">
        <v>128</v>
      </c>
    </row>
    <row r="42" spans="2:8" x14ac:dyDescent="0.3">
      <c r="B42" s="66" t="s">
        <v>176</v>
      </c>
      <c r="H42" s="108" t="s">
        <v>206</v>
      </c>
    </row>
    <row r="43" spans="2:8" x14ac:dyDescent="0.3">
      <c r="B43" s="52" t="s">
        <v>227</v>
      </c>
      <c r="H43" s="110" t="s">
        <v>207</v>
      </c>
    </row>
    <row r="44" spans="2:8" ht="27.6" x14ac:dyDescent="0.3">
      <c r="B44" s="62"/>
      <c r="H44" s="108" t="s">
        <v>208</v>
      </c>
    </row>
    <row r="45" spans="2:8" x14ac:dyDescent="0.3">
      <c r="H45" s="69" t="s">
        <v>182</v>
      </c>
    </row>
    <row r="46" spans="2:8" x14ac:dyDescent="0.3">
      <c r="H46" s="112" t="s">
        <v>209</v>
      </c>
    </row>
    <row r="47" spans="2:8" x14ac:dyDescent="0.3">
      <c r="B47" s="62"/>
      <c r="H47" s="111" t="s">
        <v>168</v>
      </c>
    </row>
    <row r="48" spans="2:8" x14ac:dyDescent="0.3">
      <c r="H48" s="113" t="s">
        <v>210</v>
      </c>
    </row>
    <row r="49" spans="8:8" x14ac:dyDescent="0.3">
      <c r="H49" s="99" t="s">
        <v>211</v>
      </c>
    </row>
    <row r="50" spans="8:8" x14ac:dyDescent="0.3">
      <c r="H50" s="106" t="s">
        <v>212</v>
      </c>
    </row>
    <row r="51" spans="8:8" x14ac:dyDescent="0.3">
      <c r="H51" s="110" t="s">
        <v>213</v>
      </c>
    </row>
    <row r="52" spans="8:8" x14ac:dyDescent="0.3">
      <c r="H52" s="70" t="s">
        <v>171</v>
      </c>
    </row>
    <row r="53" spans="8:8" x14ac:dyDescent="0.3">
      <c r="H53" s="70" t="s">
        <v>226</v>
      </c>
    </row>
    <row r="54" spans="8:8" x14ac:dyDescent="0.3">
      <c r="H54" s="111" t="s">
        <v>37</v>
      </c>
    </row>
    <row r="55" spans="8:8" x14ac:dyDescent="0.3">
      <c r="H55" s="70" t="s">
        <v>174</v>
      </c>
    </row>
    <row r="56" spans="8:8" x14ac:dyDescent="0.3">
      <c r="H56" s="111" t="s">
        <v>129</v>
      </c>
    </row>
    <row r="57" spans="8:8" x14ac:dyDescent="0.3">
      <c r="H57" s="70" t="s">
        <v>55</v>
      </c>
    </row>
    <row r="58" spans="8:8" x14ac:dyDescent="0.3">
      <c r="H58" s="111" t="s">
        <v>106</v>
      </c>
    </row>
    <row r="59" spans="8:8" x14ac:dyDescent="0.3">
      <c r="H59" s="69" t="s">
        <v>67</v>
      </c>
    </row>
    <row r="60" spans="8:8" x14ac:dyDescent="0.3">
      <c r="H60" s="111" t="s">
        <v>116</v>
      </c>
    </row>
    <row r="61" spans="8:8" x14ac:dyDescent="0.3">
      <c r="H61" s="69" t="s">
        <v>87</v>
      </c>
    </row>
    <row r="62" spans="8:8" x14ac:dyDescent="0.3">
      <c r="H62" s="110" t="s">
        <v>214</v>
      </c>
    </row>
    <row r="63" spans="8:8" ht="27.6" x14ac:dyDescent="0.3">
      <c r="H63" s="108" t="s">
        <v>215</v>
      </c>
    </row>
    <row r="64" spans="8:8" x14ac:dyDescent="0.3">
      <c r="H64" s="70" t="s">
        <v>216</v>
      </c>
    </row>
    <row r="65" spans="8:8" x14ac:dyDescent="0.3">
      <c r="H65" s="111" t="s">
        <v>177</v>
      </c>
    </row>
    <row r="66" spans="8:8" x14ac:dyDescent="0.3">
      <c r="H66" s="110" t="s">
        <v>217</v>
      </c>
    </row>
    <row r="67" spans="8:8" x14ac:dyDescent="0.3">
      <c r="H67" s="108" t="s">
        <v>218</v>
      </c>
    </row>
    <row r="68" spans="8:8" x14ac:dyDescent="0.3">
      <c r="H68" s="70" t="s">
        <v>219</v>
      </c>
    </row>
    <row r="69" spans="8:8" x14ac:dyDescent="0.3">
      <c r="H69" s="70" t="s">
        <v>178</v>
      </c>
    </row>
    <row r="70" spans="8:8" x14ac:dyDescent="0.3">
      <c r="H70" s="111" t="s">
        <v>179</v>
      </c>
    </row>
    <row r="71" spans="8:8" x14ac:dyDescent="0.3">
      <c r="H71" s="114" t="s">
        <v>194</v>
      </c>
    </row>
    <row r="72" spans="8:8" x14ac:dyDescent="0.3">
      <c r="H72" s="69" t="s">
        <v>130</v>
      </c>
    </row>
    <row r="73" spans="8:8" x14ac:dyDescent="0.3">
      <c r="H73" s="109" t="s">
        <v>180</v>
      </c>
    </row>
    <row r="74" spans="8:8" x14ac:dyDescent="0.3">
      <c r="H74" s="69" t="s">
        <v>181</v>
      </c>
    </row>
    <row r="75" spans="8:8" x14ac:dyDescent="0.3">
      <c r="H75" s="109" t="s">
        <v>92</v>
      </c>
    </row>
    <row r="76" spans="8:8" x14ac:dyDescent="0.3">
      <c r="H76" s="70" t="s">
        <v>220</v>
      </c>
    </row>
    <row r="77" spans="8:8" x14ac:dyDescent="0.3">
      <c r="H77" s="71" t="s">
        <v>221</v>
      </c>
    </row>
    <row r="78" spans="8:8" x14ac:dyDescent="0.3">
      <c r="H78" s="71" t="s">
        <v>229</v>
      </c>
    </row>
  </sheetData>
  <sortState xmlns:xlrd2="http://schemas.microsoft.com/office/spreadsheetml/2017/richdata2" ref="B5:B87">
    <sortCondition ref="B87"/>
  </sortState>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4FB294-C218-4D90-8ACD-1FB07318BD9E}">
  <ds:schemaRefs>
    <ds:schemaRef ds:uri="http://schemas.microsoft.com/DataMashup"/>
  </ds:schemaRefs>
</ds:datastoreItem>
</file>

<file path=docMetadata/LabelInfo.xml><?xml version="1.0" encoding="utf-8"?>
<clbl:labelList xmlns:clbl="http://schemas.microsoft.com/office/2020/mipLabelMetadata">
  <clbl:label id="{4da980bc-eb2f-4a66-b51e-6257249c8a3c}" enabled="1" method="Privileged" siteId="{174c7352-9c5c-4558-b848-be140b444e7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Oct</vt:lpstr>
      <vt:lpstr>Nov</vt:lpstr>
      <vt:lpstr>Dec</vt:lpstr>
      <vt:lpstr>Jan</vt:lpstr>
      <vt:lpstr>Feb</vt:lpstr>
      <vt:lpstr>Mar</vt:lpstr>
      <vt:lpstr>Expense Claim</vt:lpstr>
      <vt:lpstr>Leave</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Zanele Khumalo</dc:creator>
  <cp:lastModifiedBy>Rushil Jivan</cp:lastModifiedBy>
  <dcterms:created xsi:type="dcterms:W3CDTF">2020-04-02T09:04:10Z</dcterms:created>
  <dcterms:modified xsi:type="dcterms:W3CDTF">2026-06-18T12:25:33Z</dcterms:modified>
</cp:coreProperties>
</file>